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89b7a28405743dd/Documents/Retelistica Edu/"/>
    </mc:Choice>
  </mc:AlternateContent>
  <xr:revisionPtr revIDLastSave="0" documentId="11_3098537C50C4D6637B2F067F097C698B5E3E2463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Readme" sheetId="1" r:id="rId1"/>
    <sheet name="Config" sheetId="2" r:id="rId2"/>
    <sheet name="que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3" l="1"/>
  <c r="T16" i="3" s="1"/>
  <c r="V15" i="3"/>
  <c r="T15" i="3" s="1"/>
  <c r="V14" i="3"/>
  <c r="T14" i="3" s="1"/>
  <c r="V13" i="3"/>
  <c r="T13" i="3" s="1"/>
  <c r="V12" i="3"/>
  <c r="T12" i="3" s="1"/>
  <c r="V11" i="3"/>
  <c r="T11" i="3" s="1"/>
  <c r="V10" i="3"/>
  <c r="T10" i="3" s="1"/>
  <c r="V9" i="3"/>
  <c r="T9" i="3" s="1"/>
  <c r="V8" i="3"/>
  <c r="T8" i="3" s="1"/>
  <c r="V7" i="3"/>
  <c r="T7" i="3" s="1"/>
  <c r="V6" i="3"/>
  <c r="T6" i="3" s="1"/>
  <c r="V5" i="3"/>
  <c r="T5" i="3" s="1"/>
  <c r="V4" i="3"/>
  <c r="T4" i="3" s="1"/>
  <c r="V3" i="3"/>
  <c r="T3" i="3" s="1"/>
  <c r="V2" i="3"/>
  <c r="T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Setup</author>
  </authors>
  <commentList>
    <comment ref="E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DialCode is stored as digits only (e.g. 40), no '+'.
The validation formula converts it to text with TEXT(...,"0") before comparing.</t>
        </r>
      </text>
    </comment>
  </commentList>
</comments>
</file>

<file path=xl/sharedStrings.xml><?xml version="1.0" encoding="utf-8"?>
<sst xmlns="http://schemas.openxmlformats.org/spreadsheetml/2006/main" count="297" uniqueCount="281">
  <si>
    <t>PhoneNr validation - working demo</t>
  </si>
  <si>
    <t>What to try</t>
  </si>
  <si>
    <t>Go to the 'query' sheet and type into the PhoneNr column. Valid numbers turn green, broken ones turn red, and the IsPhoneValid column tells you exactly what is wrong.</t>
  </si>
  <si>
    <t>The 15 sample rows cover every rule; the grey notes to the right of the table say what each row is testing. Delete that notes column and the sample rows when you are done.</t>
  </si>
  <si>
    <t>The rules, in the order they are checked</t>
  </si>
  <si>
    <t>1.  Separators are stripped:  +   space   nbsp   -   (   )   .</t>
  </si>
  <si>
    <t>2.  A leading '00' international prefix becomes bare digits  (0040... -&gt; 40...)</t>
  </si>
  <si>
    <t>3.  What remains must be digits only</t>
  </si>
  <si>
    <t>4.  Length must be 8 to 15 digits  (the E.164 range)</t>
  </si>
  <si>
    <t>5.  SIM_Country must exist in tblCountries[Name]</t>
  </si>
  <si>
    <t>6.  The number must start with that country's DialCode</t>
  </si>
  <si>
    <t>Colour code</t>
  </si>
  <si>
    <t>Green  = OK</t>
  </si>
  <si>
    <t>Red    = the number itself is wrong - the user must fix it</t>
  </si>
  <si>
    <t>Amber  = cannot be checked yet: SIM_Country is blank or is not in tblCountries</t>
  </si>
  <si>
    <t>Amber is deliberately not red: the phone number may be perfectly fine, the country reference is what's missing. Fix the Config sheet or the country cell, not the number.</t>
  </si>
  <si>
    <t>How it is wired</t>
  </si>
  <si>
    <t>PhoneClean (col V) - normalises the entry. Hide this column if you don't want to see it.</t>
  </si>
  <si>
    <t>IsPhoneValid (col T) - returns "", "OK", or the error message.</t>
  </si>
  <si>
    <t>Conditional formatting on C and T - three formula rules, driven off column T.</t>
  </si>
  <si>
    <t>Data Validation on C - Warning style, so the user is told but can keep typing and fix later.</t>
  </si>
  <si>
    <t>Data Validation on H - dropdown from tblCountries[Name].</t>
  </si>
  <si>
    <t>Why the two Data Validation rules point at Config!$A$2:$A$51 and $E$2:$E$51</t>
  </si>
  <si>
    <t>Excel rejects structured references (tblCountries[Name]) inside Data Validation formulas, and inside conditional formatting too - so those two rules use plain ranges. They are STATIC: if you add countries below row 51 on the Config sheet, widen both ranges (Data &gt; Data Validation, on the PhoneNr and SIM_Country columns). The formulas in columns T and V use the structured references directly and need no maintenance, because ordinary cell formulas have no such restriction.</t>
  </si>
  <si>
    <t>Why Data Validation repeats the logic instead of just reading column T</t>
  </si>
  <si>
    <t>At the moment validation fires, column T still holds the result for the OLD value - the sheet has not recalculated yet. Pointing validation at $T2 therefore validates the previous entry. So the DV formula carries its own copy of the logic. If you change a threshold, change it in both places (or drop the DV and rely on the colours alone).</t>
  </si>
  <si>
    <t>Data Validation does not catch pasted data</t>
  </si>
  <si>
    <t>That is an Excel limitation, not a bug here. Paste, fill-down and macros all bypass DV entirely. The conditional formatting does not - it re-evaluates on every recalculation. Treat the colours as the real safety net and the popup as a convenience.</t>
  </si>
  <si>
    <t>To port this into your own workbook</t>
  </si>
  <si>
    <t>1.  Add a PhoneClean column to Table_query and paste the formula from V2.</t>
  </si>
  <si>
    <t>2.  Paste the IsPhoneValid formula from T2.</t>
  </si>
  <si>
    <t>3.  Copy the three conditional formatting rules (Home &gt; Conditional Formatting &gt; Manage Rules).</t>
  </si>
  <si>
    <t>4.  Copy cell C2 and Paste Special &gt; Validation onto your PhoneNr column.</t>
  </si>
  <si>
    <t>5.  Set your PhoneNr column's number format to Text, before any data goes in.</t>
  </si>
  <si>
    <t>If your columns sit at different letters, the formulas use plain relative references ($C2, $H2, $T2, $V2) - adjust those and everything follows.</t>
  </si>
  <si>
    <t>Known limits - read these before you trust it</t>
  </si>
  <si>
    <t>Shared dial codes: +1 is the US, Canada and much of the Caribbean; +7 is Russia and Kazakhstan. A US number validates cleanly as Canada. Distinguishing them needs area-code rules, not dial codes.</t>
  </si>
  <si>
    <t>Trunk zeros: '+40 0712...' (dial code plus a national leading 0) passes the dial-code test but is not a real E.164 number. Say the word if your data has this pattern.</t>
  </si>
  <si>
    <t>Length 8-15 is applied globally. Real national numbering plans are narrower and vary per country - add a MinLen/MaxLen column to tblCountries if you need that precision.</t>
  </si>
  <si>
    <t>The digits-only test uses ISNUMBER(x+0), which would accept an oddity like '1E5'. Irrelevant for phone data, but it is the one gap.</t>
  </si>
  <si>
    <t>Assumptions I made</t>
  </si>
  <si>
    <t>tblCountries[DialCode] holds digits only (40, not +40) - as you confirmed.</t>
  </si>
  <si>
    <t>SIM_Country holds the full country name matching tblCountries[Name].</t>
  </si>
  <si>
    <t>Rules and formatting are applied down to row 2000. Extend the ranges if your table grows.</t>
  </si>
  <si>
    <t>The 50 countries on the Config sheet are a sample for testing - replace with your real list.</t>
  </si>
  <si>
    <t>Name</t>
  </si>
  <si>
    <t>Alpha2</t>
  </si>
  <si>
    <t>Alpha3</t>
  </si>
  <si>
    <t>Num</t>
  </si>
  <si>
    <t>DialCode</t>
  </si>
  <si>
    <t>Australia</t>
  </si>
  <si>
    <t>AU</t>
  </si>
  <si>
    <t>AUS</t>
  </si>
  <si>
    <t>Austria</t>
  </si>
  <si>
    <t>AT</t>
  </si>
  <si>
    <t>AUT</t>
  </si>
  <si>
    <t>Belgium</t>
  </si>
  <si>
    <t>BE</t>
  </si>
  <si>
    <t>BEL</t>
  </si>
  <si>
    <t>Brazil</t>
  </si>
  <si>
    <t>BR</t>
  </si>
  <si>
    <t>BRA</t>
  </si>
  <si>
    <t>Bulgaria</t>
  </si>
  <si>
    <t>BG</t>
  </si>
  <si>
    <t>BGR</t>
  </si>
  <si>
    <t>Canada</t>
  </si>
  <si>
    <t>CA</t>
  </si>
  <si>
    <t>CAN</t>
  </si>
  <si>
    <t>China</t>
  </si>
  <si>
    <t>CN</t>
  </si>
  <si>
    <t>CHN</t>
  </si>
  <si>
    <t>Croatia</t>
  </si>
  <si>
    <t>HR</t>
  </si>
  <si>
    <t>HRV</t>
  </si>
  <si>
    <t>Cyprus</t>
  </si>
  <si>
    <t>CY</t>
  </si>
  <si>
    <t>CYP</t>
  </si>
  <si>
    <t>Czechia</t>
  </si>
  <si>
    <t>CZ</t>
  </si>
  <si>
    <t>CZE</t>
  </si>
  <si>
    <t>Denmark</t>
  </si>
  <si>
    <t>DK</t>
  </si>
  <si>
    <t>DNK</t>
  </si>
  <si>
    <t>Estonia</t>
  </si>
  <si>
    <t>EE</t>
  </si>
  <si>
    <t>EST</t>
  </si>
  <si>
    <t>Finland</t>
  </si>
  <si>
    <t>FI</t>
  </si>
  <si>
    <t>FIN</t>
  </si>
  <si>
    <t>France</t>
  </si>
  <si>
    <t>FR</t>
  </si>
  <si>
    <t>FRA</t>
  </si>
  <si>
    <t>Germany</t>
  </si>
  <si>
    <t>DE</t>
  </si>
  <si>
    <t>DEU</t>
  </si>
  <si>
    <t>Greece</t>
  </si>
  <si>
    <t>GR</t>
  </si>
  <si>
    <t>GRC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</si>
  <si>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</si>
  <si>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</si>
  <si>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</si>
  <si>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</si>
  <si>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</si>
  <si>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</si>
  <si>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</si>
  <si>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</si>
  <si>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</si>
  <si>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</si>
  <si>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</si>
  <si>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</si>
  <si>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Ireland</t>
  </si>
  <si>
    <t>IE</t>
  </si>
  <si>
    <t>IRL</t>
  </si>
  <si>
    <t>Israel</t>
  </si>
  <si>
    <t>IL</t>
  </si>
  <si>
    <t>ISR</t>
  </si>
  <si>
    <t>Italy</t>
  </si>
  <si>
    <t>IT</t>
  </si>
  <si>
    <t>ITA</t>
  </si>
  <si>
    <t>Japan</t>
  </si>
  <si>
    <t>JP</t>
  </si>
  <si>
    <t>JPN</t>
  </si>
  <si>
    <t>Korea, Republic of</t>
  </si>
  <si>
    <t>KR</t>
  </si>
  <si>
    <t>KOR</t>
  </si>
  <si>
    <t>Latvia</t>
  </si>
  <si>
    <t>LV</t>
  </si>
  <si>
    <t>LVA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</si>
  <si>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</si>
  <si>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</si>
  <si>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</si>
  <si>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</si>
  <si>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</si>
  <si>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</si>
  <si>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</si>
  <si>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</si>
  <si>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</si>
  <si>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Malta</t>
  </si>
  <si>
    <t>MT</t>
  </si>
  <si>
    <t>MLT</t>
  </si>
  <si>
    <t>Mexico</t>
  </si>
  <si>
    <t>MX</t>
  </si>
  <si>
    <t>MEX</t>
  </si>
  <si>
    <t>Moldova</t>
  </si>
  <si>
    <t>MD</t>
  </si>
  <si>
    <t>MDA</t>
  </si>
  <si>
    <t>Netherlands</t>
  </si>
  <si>
    <t>NL</t>
  </si>
  <si>
    <t>NLD</t>
  </si>
  <si>
    <t>Norway</t>
  </si>
  <si>
    <t>NO</t>
  </si>
  <si>
    <t>NOR</t>
  </si>
  <si>
    <t>Poland</t>
  </si>
  <si>
    <t>PL</t>
  </si>
  <si>
    <t>POL</t>
  </si>
  <si>
    <t>Portugal</t>
  </si>
  <si>
    <t>PT</t>
  </si>
  <si>
    <t>PRT</t>
  </si>
  <si>
    <t>Romania</t>
  </si>
  <si>
    <t>RO</t>
  </si>
  <si>
    <t>ROU</t>
  </si>
  <si>
    <t>Serbia</t>
  </si>
  <si>
    <t>RS</t>
  </si>
  <si>
    <t>SRB</t>
  </si>
  <si>
    <t>Singapore</t>
  </si>
  <si>
    <t>SG</t>
  </si>
  <si>
    <t>SGP</t>
  </si>
  <si>
    <t>Slovakia</t>
  </si>
  <si>
    <t>SK</t>
  </si>
  <si>
    <t>SVK</t>
  </si>
  <si>
    <t>Slovenia</t>
  </si>
  <si>
    <t>SI</t>
  </si>
  <si>
    <t>SVN</t>
  </si>
  <si>
    <t>South Africa</t>
  </si>
  <si>
    <t>ZA</t>
  </si>
  <si>
    <t>ZAF</t>
  </si>
  <si>
    <t>Spain</t>
  </si>
  <si>
    <t>ES</t>
  </si>
  <si>
    <t>ESP</t>
  </si>
  <si>
    <t>Sweden</t>
  </si>
  <si>
    <t>SE</t>
  </si>
  <si>
    <t>SWE</t>
  </si>
  <si>
    <t>Switzerland</t>
  </si>
  <si>
    <t>CH</t>
  </si>
  <si>
    <t>CHE</t>
  </si>
  <si>
    <t>Turkey</t>
  </si>
  <si>
    <t>TR</t>
  </si>
  <si>
    <t>TUR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</si>
  <si>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</si>
  <si>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</si>
  <si>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</si>
  <si>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</si>
  <si>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</si>
  <si>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</si>
  <si>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</si>
  <si>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</si>
  <si>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</si>
  <si>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</t>
  </si>
  <si>
    <t>US</t>
  </si>
  <si>
    <t>USA</t>
  </si>
  <si>
    <t>FirstName</t>
  </si>
  <si>
    <t>LastName</t>
  </si>
  <si>
    <t>PhoneNr</t>
  </si>
  <si>
    <t>Plan</t>
  </si>
  <si>
    <t>ICC_ID</t>
  </si>
  <si>
    <t>GD_ID</t>
  </si>
  <si>
    <t>StartDate</t>
  </si>
  <si>
    <t>SIM_Country</t>
  </si>
  <si>
    <t>Provider</t>
  </si>
  <si>
    <t>CostCenter</t>
  </si>
  <si>
    <t>UBR_Code</t>
  </si>
  <si>
    <t>Legal entity</t>
  </si>
  <si>
    <t>IsVR</t>
  </si>
  <si>
    <t>BAN</t>
  </si>
  <si>
    <t>SOC</t>
  </si>
  <si>
    <t>Status</t>
  </si>
  <si>
    <t>SIM Type</t>
  </si>
  <si>
    <t>Email</t>
  </si>
  <si>
    <t>ID</t>
  </si>
  <si>
    <t>IsPhoneValid</t>
  </si>
  <si>
    <t>IMEI</t>
  </si>
  <si>
    <t>PhoneClean</t>
  </si>
  <si>
    <t>Test case (not part of the table)</t>
  </si>
  <si>
    <t>Ana</t>
  </si>
  <si>
    <t>Popescu</t>
  </si>
  <si>
    <t>+40712345678</t>
  </si>
  <si>
    <t>valid, + prefix</t>
  </si>
  <si>
    <t>Mihai</t>
  </si>
  <si>
    <t>Ionescu</t>
  </si>
  <si>
    <t>40712345678</t>
  </si>
  <si>
    <t>valid, bare digits</t>
  </si>
  <si>
    <t>Elena</t>
  </si>
  <si>
    <t>Dumitru</t>
  </si>
  <si>
    <t>0712345678</t>
  </si>
  <si>
    <t>BAD: national format, no country code</t>
  </si>
  <si>
    <t>Lukas</t>
  </si>
  <si>
    <t>Müller</t>
  </si>
  <si>
    <t>+49 151 1234 5678</t>
  </si>
  <si>
    <t>valid, spaces stripped</t>
  </si>
  <si>
    <t>Claire</t>
  </si>
  <si>
    <t>Dubois</t>
  </si>
  <si>
    <t>0033612345678</t>
  </si>
  <si>
    <t>valid, 00 prefix converted</t>
  </si>
  <si>
    <t>Sven</t>
  </si>
  <si>
    <t>Jansen</t>
  </si>
  <si>
    <t>+31-6-1234-5678</t>
  </si>
  <si>
    <t>valid, dashes stripped</t>
  </si>
  <si>
    <t>Marco</t>
  </si>
  <si>
    <t>Rossi</t>
  </si>
  <si>
    <t>+39123</t>
  </si>
  <si>
    <t>BAD: too short</t>
  </si>
  <si>
    <t>Sofia</t>
  </si>
  <si>
    <t>Garcia</t>
  </si>
  <si>
    <t>+34123456789012345</t>
  </si>
  <si>
    <t>BAD: too long</t>
  </si>
  <si>
    <t>James</t>
  </si>
  <si>
    <t>Whitfield</t>
  </si>
  <si>
    <t>+44ABC12345</t>
  </si>
  <si>
    <t>BAD: letters</t>
  </si>
  <si>
    <t>Piotr</t>
  </si>
  <si>
    <t>Kowalski</t>
  </si>
  <si>
    <t>BAD: wrong country code (PL is 48)</t>
  </si>
  <si>
    <t>Nadia</t>
  </si>
  <si>
    <t>Okonkwo</t>
  </si>
  <si>
    <t>Wakanda</t>
  </si>
  <si>
    <t>BAD: country not in tblCountries</t>
  </si>
  <si>
    <t>Tomas</t>
  </si>
  <si>
    <t>Varga</t>
  </si>
  <si>
    <t>+421912345678</t>
  </si>
  <si>
    <t>BAD: SIM_Country empty</t>
  </si>
  <si>
    <t>Sarah</t>
  </si>
  <si>
    <t>Bennett</t>
  </si>
  <si>
    <t>+1-202-555-0143</t>
  </si>
  <si>
    <t>valid, dots/dashes stripped</t>
  </si>
  <si>
    <t>Kenji</t>
  </si>
  <si>
    <t>Tanaka</t>
  </si>
  <si>
    <t>+81 90 1234 5678</t>
  </si>
  <si>
    <t>valid</t>
  </si>
  <si>
    <t>Ingrid</t>
  </si>
  <si>
    <t>Larsen</t>
  </si>
  <si>
    <t>004791234567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</si>
</sst>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1F3864"/>
      <name val="Arial"/>
    </font>
    <font>
      <sz val="10"/>
      <name val="Arial"/>
    </font>
    <font>
      <b/>
      <sz val="11"/>
      <color rgb="FF2E5496"/>
      <name val="Arial"/>
    </font>
    <font>
      <sz val="10"/>
      <color theme="1"/>
      <name val="Arial"/>
    </font>
    <font>
      <b/>
      <sz val="10"/>
      <color rgb="FFFFFFFF"/>
      <name val="Arial"/>
    </font>
    <font>
      <i/>
      <sz val="10"/>
      <color rgb="FF80808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  <xf numFmtId="49" fontId="4" fillId="0" borderId="0" xfId="0" applyNumberFormat="1" applyFont="1"/>
    <xf numFmtId="0" fontId="6" fillId="0" borderId="0" xfId="0" applyFont="1"/>
  </cellXfs>
  <cellStyles count="1">
    <cellStyle name="Normal" xfId="0" builtinId="0"/>
  </cellStyles>
  <dxfs count="6">
    <dxf>
      <font>
        <color rgb="FF006100"/>
        <name val="Arial"/>
      </font>
      <fill>
        <patternFill patternType="solid">
          <fgColor rgb="FFC6EFCE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color rgb="FF9C5700"/>
        <name val="Arial"/>
      </font>
      <fill>
        <patternFill patternType="solid">
          <fgColor rgb="FFFFEB9C"/>
        </patternFill>
      </fill>
    </dxf>
    <dxf>
      <font>
        <color rgb="FF006100"/>
        <name val="Arial"/>
      </font>
      <fill>
        <patternFill patternType="solid">
          <fgColor rgb="FFC6EFCE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color rgb="FF9C5700"/>
        <name val="Arial"/>
      </font>
      <fill>
        <patternFill patternType="solid">
          <f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untries" displayName="tblCountries" ref="A1:E51">
  <autoFilter ref="A1:E51" xr:uid="{00000000-0009-0000-0100-000001000000}"/>
  <tableColumns count="5">
    <tableColumn id="1" xr3:uid="{00000000-0010-0000-0000-000001000000}" name="Name"/>
    <tableColumn id="2" xr3:uid="{00000000-0010-0000-0000-000002000000}" name="Alpha2"/>
    <tableColumn id="3" xr3:uid="{00000000-0010-0000-0000-000003000000}" name="Alpha3"/>
    <tableColumn id="4" xr3:uid="{00000000-0010-0000-0000-000004000000}" name="Num"/>
    <tableColumn id="5" xr3:uid="{00000000-0010-0000-0000-000005000000}" name="Dial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query" displayName="Table_query" ref="A1:V16">
  <autoFilter ref="A1:V16" xr:uid="{00000000-0009-0000-0100-000002000000}"/>
  <tableColumns count="22">
    <tableColumn id="1" xr3:uid="{00000000-0010-0000-0100-000001000000}" name="FirstName"/>
    <tableColumn id="2" xr3:uid="{00000000-0010-0000-0100-000002000000}" name="LastName"/>
    <tableColumn id="3" xr3:uid="{00000000-0010-0000-0100-000003000000}" name="PhoneNr"/>
    <tableColumn id="4" xr3:uid="{00000000-0010-0000-0100-000004000000}" name="Plan"/>
    <tableColumn id="5" xr3:uid="{00000000-0010-0000-0100-000005000000}" name="ICC_ID"/>
    <tableColumn id="6" xr3:uid="{00000000-0010-0000-0100-000006000000}" name="GD_ID"/>
    <tableColumn id="7" xr3:uid="{00000000-0010-0000-0100-000007000000}" name="StartDate"/>
    <tableColumn id="8" xr3:uid="{00000000-0010-0000-0100-000008000000}" name="SIM_Country"/>
    <tableColumn id="9" xr3:uid="{00000000-0010-0000-0100-000009000000}" name="Provider"/>
    <tableColumn id="10" xr3:uid="{00000000-0010-0000-0100-00000A000000}" name="CostCenter"/>
    <tableColumn id="11" xr3:uid="{00000000-0010-0000-0100-00000B000000}" name="UBR_Code"/>
    <tableColumn id="12" xr3:uid="{00000000-0010-0000-0100-00000C000000}" name="Legal entity"/>
    <tableColumn id="13" xr3:uid="{00000000-0010-0000-0100-00000D000000}" name="IsVR"/>
    <tableColumn id="14" xr3:uid="{00000000-0010-0000-0100-00000E000000}" name="BAN"/>
    <tableColumn id="15" xr3:uid="{00000000-0010-0000-0100-00000F000000}" name="SOC"/>
    <tableColumn id="16" xr3:uid="{00000000-0010-0000-0100-000010000000}" name="Status"/>
    <tableColumn id="17" xr3:uid="{00000000-0010-0000-0100-000011000000}" name="SIM Type"/>
    <tableColumn id="18" xr3:uid="{00000000-0010-0000-0100-000012000000}" name="Email"/>
    <tableColumn id="19" xr3:uid="{00000000-0010-0000-0100-000013000000}" name="ID"/>
    <tableColumn id="20" xr3:uid="{00000000-0010-0000-0100-000014000000}" name="IsPhoneValid"/>
    <tableColumn id="21" xr3:uid="{00000000-0010-0000-0100-000015000000}" name="IMEI"/>
    <tableColumn id="22" xr3:uid="{00000000-0010-0000-0100-000016000000}" name="PhoneCle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55"/>
  <sheetViews>
    <sheetView showGridLines="0" workbookViewId="0"/>
  </sheetViews>
  <sheetFormatPr defaultRowHeight="14.5" x14ac:dyDescent="0.35"/>
  <cols>
    <col min="1" max="1" width="3" customWidth="1"/>
    <col min="2" max="2" width="118" customWidth="1"/>
  </cols>
  <sheetData>
    <row r="1" spans="2:2" ht="19" x14ac:dyDescent="0.35">
      <c r="B1" s="1" t="s">
        <v>0</v>
      </c>
    </row>
    <row r="2" spans="2:2" x14ac:dyDescent="0.35">
      <c r="B2" s="2"/>
    </row>
    <row r="3" spans="2:2" ht="22" customHeight="1" x14ac:dyDescent="0.35">
      <c r="B3" s="3" t="s">
        <v>1</v>
      </c>
    </row>
    <row r="4" spans="2:2" ht="30" customHeight="1" x14ac:dyDescent="0.35">
      <c r="B4" s="2" t="s">
        <v>2</v>
      </c>
    </row>
    <row r="5" spans="2:2" ht="30" customHeight="1" x14ac:dyDescent="0.35">
      <c r="B5" s="2" t="s">
        <v>3</v>
      </c>
    </row>
    <row r="6" spans="2:2" x14ac:dyDescent="0.35">
      <c r="B6" s="2"/>
    </row>
    <row r="7" spans="2:2" ht="22" customHeight="1" x14ac:dyDescent="0.35">
      <c r="B7" s="3" t="s">
        <v>4</v>
      </c>
    </row>
    <row r="8" spans="2:2" x14ac:dyDescent="0.35">
      <c r="B8" s="2" t="s">
        <v>5</v>
      </c>
    </row>
    <row r="9" spans="2:2" x14ac:dyDescent="0.35">
      <c r="B9" s="2" t="s">
        <v>6</v>
      </c>
    </row>
    <row r="10" spans="2:2" x14ac:dyDescent="0.35">
      <c r="B10" s="2" t="s">
        <v>7</v>
      </c>
    </row>
    <row r="11" spans="2:2" x14ac:dyDescent="0.35">
      <c r="B11" s="2" t="s">
        <v>8</v>
      </c>
    </row>
    <row r="12" spans="2:2" x14ac:dyDescent="0.35">
      <c r="B12" s="2" t="s">
        <v>9</v>
      </c>
    </row>
    <row r="13" spans="2:2" x14ac:dyDescent="0.35">
      <c r="B13" s="2" t="s">
        <v>10</v>
      </c>
    </row>
    <row r="14" spans="2:2" x14ac:dyDescent="0.35">
      <c r="B14" s="2"/>
    </row>
    <row r="15" spans="2:2" ht="22" customHeight="1" x14ac:dyDescent="0.35">
      <c r="B15" s="3" t="s">
        <v>11</v>
      </c>
    </row>
    <row r="16" spans="2:2" x14ac:dyDescent="0.35">
      <c r="B16" s="2" t="s">
        <v>12</v>
      </c>
    </row>
    <row r="17" spans="2:2" x14ac:dyDescent="0.35">
      <c r="B17" s="2" t="s">
        <v>13</v>
      </c>
    </row>
    <row r="18" spans="2:2" x14ac:dyDescent="0.35">
      <c r="B18" s="2" t="s">
        <v>14</v>
      </c>
    </row>
    <row r="19" spans="2:2" ht="30" customHeight="1" x14ac:dyDescent="0.35">
      <c r="B19" s="2" t="s">
        <v>15</v>
      </c>
    </row>
    <row r="20" spans="2:2" x14ac:dyDescent="0.35">
      <c r="B20" s="2"/>
    </row>
    <row r="21" spans="2:2" ht="22" customHeight="1" x14ac:dyDescent="0.35">
      <c r="B21" s="3" t="s">
        <v>16</v>
      </c>
    </row>
    <row r="22" spans="2:2" x14ac:dyDescent="0.35">
      <c r="B22" s="2" t="s">
        <v>17</v>
      </c>
    </row>
    <row r="23" spans="2:2" x14ac:dyDescent="0.35">
      <c r="B23" s="2" t="s">
        <v>18</v>
      </c>
    </row>
    <row r="24" spans="2:2" x14ac:dyDescent="0.35">
      <c r="B24" s="2" t="s">
        <v>19</v>
      </c>
    </row>
    <row r="25" spans="2:2" x14ac:dyDescent="0.35">
      <c r="B25" s="2" t="s">
        <v>20</v>
      </c>
    </row>
    <row r="26" spans="2:2" x14ac:dyDescent="0.35">
      <c r="B26" s="2" t="s">
        <v>21</v>
      </c>
    </row>
    <row r="27" spans="2:2" x14ac:dyDescent="0.35">
      <c r="B27" s="2"/>
    </row>
    <row r="28" spans="2:2" ht="22" customHeight="1" x14ac:dyDescent="0.35">
      <c r="B28" s="3" t="s">
        <v>22</v>
      </c>
    </row>
    <row r="29" spans="2:2" ht="75" customHeight="1" x14ac:dyDescent="0.35">
      <c r="B29" s="2" t="s">
        <v>23</v>
      </c>
    </row>
    <row r="30" spans="2:2" x14ac:dyDescent="0.35">
      <c r="B30" s="2"/>
    </row>
    <row r="31" spans="2:2" ht="22" customHeight="1" x14ac:dyDescent="0.35">
      <c r="B31" s="3" t="s">
        <v>24</v>
      </c>
    </row>
    <row r="32" spans="2:2" ht="60" customHeight="1" x14ac:dyDescent="0.35">
      <c r="B32" s="2" t="s">
        <v>25</v>
      </c>
    </row>
    <row r="33" spans="2:2" x14ac:dyDescent="0.35">
      <c r="B33" s="2"/>
    </row>
    <row r="34" spans="2:2" ht="22" customHeight="1" x14ac:dyDescent="0.35">
      <c r="B34" s="3" t="s">
        <v>26</v>
      </c>
    </row>
    <row r="35" spans="2:2" ht="45" customHeight="1" x14ac:dyDescent="0.35">
      <c r="B35" s="2" t="s">
        <v>27</v>
      </c>
    </row>
    <row r="36" spans="2:2" x14ac:dyDescent="0.35">
      <c r="B36" s="2"/>
    </row>
    <row r="37" spans="2:2" ht="22" customHeight="1" x14ac:dyDescent="0.35">
      <c r="B37" s="3" t="s">
        <v>28</v>
      </c>
    </row>
    <row r="38" spans="2:2" x14ac:dyDescent="0.35">
      <c r="B38" s="2" t="s">
        <v>29</v>
      </c>
    </row>
    <row r="39" spans="2:2" x14ac:dyDescent="0.35">
      <c r="B39" s="2" t="s">
        <v>30</v>
      </c>
    </row>
    <row r="40" spans="2:2" x14ac:dyDescent="0.35">
      <c r="B40" s="2" t="s">
        <v>31</v>
      </c>
    </row>
    <row r="41" spans="2:2" x14ac:dyDescent="0.35">
      <c r="B41" s="2" t="s">
        <v>32</v>
      </c>
    </row>
    <row r="42" spans="2:2" x14ac:dyDescent="0.35">
      <c r="B42" s="2" t="s">
        <v>33</v>
      </c>
    </row>
    <row r="43" spans="2:2" ht="30" customHeight="1" x14ac:dyDescent="0.35">
      <c r="B43" s="2" t="s">
        <v>34</v>
      </c>
    </row>
    <row r="44" spans="2:2" x14ac:dyDescent="0.35">
      <c r="B44" s="2"/>
    </row>
    <row r="45" spans="2:2" ht="22" customHeight="1" x14ac:dyDescent="0.35">
      <c r="B45" s="3" t="s">
        <v>35</v>
      </c>
    </row>
    <row r="46" spans="2:2" ht="25" x14ac:dyDescent="0.35">
      <c r="B46" s="2" t="s">
        <v>36</v>
      </c>
    </row>
    <row r="47" spans="2:2" ht="25" x14ac:dyDescent="0.35">
      <c r="B47" s="2" t="s">
        <v>37</v>
      </c>
    </row>
    <row r="48" spans="2:2" ht="25" x14ac:dyDescent="0.35">
      <c r="B48" s="2" t="s">
        <v>38</v>
      </c>
    </row>
    <row r="49" spans="2:2" x14ac:dyDescent="0.35">
      <c r="B49" s="2" t="s">
        <v>39</v>
      </c>
    </row>
    <row r="50" spans="2:2" x14ac:dyDescent="0.35">
      <c r="B50" s="2"/>
    </row>
    <row r="51" spans="2:2" ht="22" customHeight="1" x14ac:dyDescent="0.35">
      <c r="B51" s="3" t="s">
        <v>40</v>
      </c>
    </row>
    <row r="52" spans="2:2" x14ac:dyDescent="0.35">
      <c r="B52" s="2" t="s">
        <v>41</v>
      </c>
    </row>
    <row r="53" spans="2:2" x14ac:dyDescent="0.35">
      <c r="B53" s="2" t="s">
        <v>42</v>
      </c>
    </row>
    <row r="54" spans="2:2" x14ac:dyDescent="0.35">
      <c r="B54" s="2" t="s">
        <v>43</v>
      </c>
    </row>
    <row r="55" spans="2:2" x14ac:dyDescent="0.35">
      <c r="B55" s="2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I9" sqref="I9"/>
    </sheetView>
  </sheetViews>
  <sheetFormatPr defaultRowHeight="14.5" x14ac:dyDescent="0.35"/>
  <cols>
    <col min="1" max="1" width="26" customWidth="1"/>
    <col min="2" max="3" width="9" customWidth="1"/>
    <col min="4" max="4" width="8" customWidth="1"/>
    <col min="5" max="5" width="11" customWidth="1"/>
  </cols>
  <sheetData>
    <row r="1" spans="1:5" x14ac:dyDescent="0.35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</row>
    <row r="2" spans="1:5" x14ac:dyDescent="0.35">
      <c r="A2" s="5" t="s">
        <v>50</v>
      </c>
      <c r="B2" s="5" t="s">
        <v>51</v>
      </c>
      <c r="C2" s="5" t="s">
        <v>52</v>
      </c>
      <c r="D2" s="5">
        <v>36</v>
      </c>
      <c r="E2" s="5">
        <v>61</v>
      </c>
    </row>
    <row r="3" spans="1:5" x14ac:dyDescent="0.35">
      <c r="A3" s="5" t="s">
        <v>53</v>
      </c>
      <c r="B3" s="5" t="s">
        <v>54</v>
      </c>
      <c r="C3" s="5" t="s">
        <v>55</v>
      </c>
      <c r="D3" s="5">
        <v>40</v>
      </c>
      <c r="E3" s="5">
        <v>43</v>
      </c>
    </row>
    <row r="4" spans="1:5" x14ac:dyDescent="0.35">
      <c r="A4" s="5" t="s">
        <v>56</v>
      </c>
      <c r="B4" s="5" t="s">
        <v>57</v>
      </c>
      <c r="C4" s="5" t="s">
        <v>58</v>
      </c>
      <c r="D4" s="5">
        <v>56</v>
      </c>
      <c r="E4" s="5">
        <v>32</v>
      </c>
    </row>
    <row r="5" spans="1:5" x14ac:dyDescent="0.35">
      <c r="A5" s="5" t="s">
        <v>59</v>
      </c>
      <c r="B5" s="5" t="s">
        <v>60</v>
      </c>
      <c r="C5" s="5" t="s">
        <v>61</v>
      </c>
      <c r="D5" s="5">
        <v>76</v>
      </c>
      <c r="E5" s="5">
        <v>55</v>
      </c>
    </row>
    <row r="6" spans="1:5" x14ac:dyDescent="0.35">
      <c r="A6" s="5" t="s">
        <v>62</v>
      </c>
      <c r="B6" s="5" t="s">
        <v>63</v>
      </c>
      <c r="C6" s="5" t="s">
        <v>64</v>
      </c>
      <c r="D6" s="5">
        <v>100</v>
      </c>
      <c r="E6" s="5">
        <v>359</v>
      </c>
    </row>
    <row r="7" spans="1:5" x14ac:dyDescent="0.35">
      <c r="A7" s="5" t="s">
        <v>65</v>
      </c>
      <c r="B7" s="5" t="s">
        <v>66</v>
      </c>
      <c r="C7" s="5" t="s">
        <v>67</v>
      </c>
      <c r="D7" s="5">
        <v>124</v>
      </c>
      <c r="E7" s="5">
        <v>1</v>
      </c>
    </row>
    <row r="8" spans="1:5" x14ac:dyDescent="0.35">
      <c r="A8" s="5" t="s">
        <v>68</v>
      </c>
      <c r="B8" s="5" t="s">
        <v>69</v>
      </c>
      <c r="C8" s="5" t="s">
        <v>70</v>
      </c>
      <c r="D8" s="5">
        <v>156</v>
      </c>
      <c r="E8" s="5">
        <v>86</v>
      </c>
    </row>
    <row r="9" spans="1:5" x14ac:dyDescent="0.35">
      <c r="A9" s="5" t="s">
        <v>71</v>
      </c>
      <c r="B9" s="5" t="s">
        <v>72</v>
      </c>
      <c r="C9" s="5" t="s">
        <v>73</v>
      </c>
      <c r="D9" s="5">
        <v>191</v>
      </c>
      <c r="E9" s="5">
        <v>385</v>
      </c>
    </row>
    <row r="10" spans="1:5" x14ac:dyDescent="0.35">
      <c r="A10" s="5" t="s">
        <v>74</v>
      </c>
      <c r="B10" s="5" t="s">
        <v>75</v>
      </c>
      <c r="C10" s="5" t="s">
        <v>76</v>
      </c>
      <c r="D10" s="5">
        <v>196</v>
      </c>
      <c r="E10" s="5">
        <v>357</v>
      </c>
    </row>
    <row r="11" spans="1:5" x14ac:dyDescent="0.35">
      <c r="A11" s="5" t="s">
        <v>77</v>
      </c>
      <c r="B11" s="5" t="s">
        <v>78</v>
      </c>
      <c r="C11" s="5" t="s">
        <v>79</v>
      </c>
      <c r="D11" s="5">
        <v>203</v>
      </c>
      <c r="E11" s="5">
        <v>420</v>
      </c>
    </row>
    <row r="12" spans="1:5" x14ac:dyDescent="0.35">
      <c r="A12" s="5" t="s">
        <v>80</v>
      </c>
      <c r="B12" s="5" t="s">
        <v>81</v>
      </c>
      <c r="C12" s="5" t="s">
        <v>82</v>
      </c>
      <c r="D12" s="5">
        <v>208</v>
      </c>
      <c r="E12" s="5">
        <v>45</v>
      </c>
    </row>
    <row r="13" spans="1:5" x14ac:dyDescent="0.35">
      <c r="A13" s="5" t="s">
        <v>83</v>
      </c>
      <c r="B13" s="5" t="s">
        <v>84</v>
      </c>
      <c r="C13" s="5" t="s">
        <v>85</v>
      </c>
      <c r="D13" s="5">
        <v>233</v>
      </c>
      <c r="E13" s="5">
        <v>372</v>
      </c>
    </row>
    <row r="14" spans="1:5" x14ac:dyDescent="0.35">
      <c r="A14" s="5" t="s">
        <v>86</v>
      </c>
      <c r="B14" s="5" t="s">
        <v>87</v>
      </c>
      <c r="C14" s="5" t="s">
        <v>88</v>
      </c>
      <c r="D14" s="5">
        <v>246</v>
      </c>
      <c r="E14" s="5">
        <v>358</v>
      </c>
    </row>
    <row r="15" spans="1:5" x14ac:dyDescent="0.35">
      <c r="A15" s="5" t="s">
        <v>89</v>
      </c>
      <c r="B15" s="5" t="s">
        <v>90</v>
      </c>
      <c r="C15" s="5" t="s">
        <v>91</v>
      </c>
      <c r="D15" s="5">
        <v>250</v>
      </c>
      <c r="E15" s="5">
        <v>33</v>
      </c>
    </row>
    <row r="16" spans="1:5" x14ac:dyDescent="0.35">
      <c r="A16" s="5" t="s">
        <v>92</v>
      </c>
      <c r="B16" s="5" t="s">
        <v>93</v>
      </c>
      <c r="C16" s="5" t="s">
        <v>94</v>
      </c>
      <c r="D16" s="5">
        <v>276</v>
      </c>
      <c r="E16" s="5">
        <v>49</v>
      </c>
    </row>
    <row r="17" spans="1:5" x14ac:dyDescent="0.35">
      <c r="A17" s="5" t="s">
        <v>95</v>
      </c>
      <c r="B17" s="5" t="s">
        <v>96</v>
      </c>
      <c r="C17" s="5" t="s">
        <v>97</v>
      </c>
      <c r="D17" s="5">
        <v>300</v>
      </c>
      <c r="E17" s="5">
        <v>30</v>
      </c>
    </row>
    <row r="18" spans="1:5" x14ac:dyDescent="0.35">
      <c r="A18" s="5" t="s">
        <v>98</v>
      </c>
      <c r="B18" s="5" t="s">
        <v>99</v>
      </c>
      <c r="C18" s="5" t="s">
        <v>100</v>
      </c>
      <c r="D18" s="5">
        <v>344</v>
      </c>
      <c r="E18" s="5">
        <v>852</v>
      </c>
    </row>
    <row r="19" spans="1:5" x14ac:dyDescent="0.35">
      <c r="A19" s="5" t="s">
        <v>101</v>
      </c>
      <c r="B19" s="5" t="s">
        <v>102</v>
      </c>
      <c r="C19" s="5" t="s">
        <v>103</v>
      </c>
      <c r="D19" s="5">
        <v>348</v>
      </c>
      <c r="E19" s="5">
        <v>36</v>
      </c>
    </row>
    <row r="20" spans="1:5" x14ac:dyDescent="0.35">
      <c r="A20" s="5" t="s">
        <v>104</v>
      </c>
      <c r="B20" s="5" t="s">
        <v>105</v>
      </c>
      <c r="C20" s="5" t="s">
        <v>106</v>
      </c>
      <c r="D20" s="5">
        <v>352</v>
      </c>
      <c r="E20" s="5">
        <v>354</v>
      </c>
    </row>
    <row r="21" spans="1:5" x14ac:dyDescent="0.35">
      <c r="A21" s="5" t="s">
        <v>107</v>
      </c>
      <c r="B21" s="5" t="s">
        <v>108</v>
      </c>
      <c r="C21" s="5" t="s">
        <v>109</v>
      </c>
      <c r="D21" s="5">
        <v>356</v>
      </c>
      <c r="E21" s="5">
        <v>91</v>
      </c>
    </row>
    <row r="22" spans="1:5" x14ac:dyDescent="0.35">
      <c r="A22" s="5" t="s">
        <v>110</v>
      </c>
      <c r="B22" s="5" t="s">
        <v>111</v>
      </c>
      <c r="C22" s="5" t="s">
        <v>112</v>
      </c>
      <c r="D22" s="5">
        <v>372</v>
      </c>
      <c r="E22" s="5">
        <v>353</v>
      </c>
    </row>
    <row r="23" spans="1:5" x14ac:dyDescent="0.35">
      <c r="A23" s="5" t="s">
        <v>113</v>
      </c>
      <c r="B23" s="5" t="s">
        <v>114</v>
      </c>
      <c r="C23" s="5" t="s">
        <v>115</v>
      </c>
      <c r="D23" s="5">
        <v>376</v>
      </c>
      <c r="E23" s="5">
        <v>972</v>
      </c>
    </row>
    <row r="24" spans="1:5" x14ac:dyDescent="0.35">
      <c r="A24" s="5" t="s">
        <v>116</v>
      </c>
      <c r="B24" s="5" t="s">
        <v>117</v>
      </c>
      <c r="C24" s="5" t="s">
        <v>118</v>
      </c>
      <c r="D24" s="5">
        <v>380</v>
      </c>
      <c r="E24" s="5">
        <v>39</v>
      </c>
    </row>
    <row r="25" spans="1:5" x14ac:dyDescent="0.35">
      <c r="A25" s="5" t="s">
        <v>119</v>
      </c>
      <c r="B25" s="5" t="s">
        <v>120</v>
      </c>
      <c r="C25" s="5" t="s">
        <v>121</v>
      </c>
      <c r="D25" s="5">
        <v>392</v>
      </c>
      <c r="E25" s="5">
        <v>81</v>
      </c>
    </row>
    <row r="26" spans="1:5" x14ac:dyDescent="0.35">
      <c r="A26" s="5" t="s">
        <v>122</v>
      </c>
      <c r="B26" s="5" t="s">
        <v>123</v>
      </c>
      <c r="C26" s="5" t="s">
        <v>124</v>
      </c>
      <c r="D26" s="5">
        <v>410</v>
      </c>
      <c r="E26" s="5">
        <v>82</v>
      </c>
    </row>
    <row r="27" spans="1:5" x14ac:dyDescent="0.35">
      <c r="A27" s="5" t="s">
        <v>125</v>
      </c>
      <c r="B27" s="5" t="s">
        <v>126</v>
      </c>
      <c r="C27" s="5" t="s">
        <v>127</v>
      </c>
      <c r="D27" s="5">
        <v>428</v>
      </c>
      <c r="E27" s="5">
        <v>371</v>
      </c>
    </row>
    <row r="28" spans="1:5" x14ac:dyDescent="0.35">
      <c r="A28" s="5" t="s">
        <v>128</v>
      </c>
      <c r="B28" s="5" t="s">
        <v>129</v>
      </c>
      <c r="C28" s="5" t="s">
        <v>130</v>
      </c>
      <c r="D28" s="5">
        <v>438</v>
      </c>
      <c r="E28" s="5">
        <v>423</v>
      </c>
    </row>
    <row r="29" spans="1:5" x14ac:dyDescent="0.35">
      <c r="A29" s="5" t="s">
        <v>131</v>
      </c>
      <c r="B29" s="5" t="s">
        <v>132</v>
      </c>
      <c r="C29" s="5" t="s">
        <v>133</v>
      </c>
      <c r="D29" s="5">
        <v>440</v>
      </c>
      <c r="E29" s="5">
        <v>370</v>
      </c>
    </row>
    <row r="30" spans="1:5" x14ac:dyDescent="0.35">
      <c r="A30" s="5" t="s">
        <v>134</v>
      </c>
      <c r="B30" s="5" t="s">
        <v>135</v>
      </c>
      <c r="C30" s="5" t="s">
        <v>136</v>
      </c>
      <c r="D30" s="5">
        <v>442</v>
      </c>
      <c r="E30" s="5">
        <v>352</v>
      </c>
    </row>
    <row r="31" spans="1:5" x14ac:dyDescent="0.35">
      <c r="A31" s="5" t="s">
        <v>137</v>
      </c>
      <c r="B31" s="5" t="s">
        <v>138</v>
      </c>
      <c r="C31" s="5" t="s">
        <v>139</v>
      </c>
      <c r="D31" s="5">
        <v>470</v>
      </c>
      <c r="E31" s="5">
        <v>356</v>
      </c>
    </row>
    <row r="32" spans="1:5" x14ac:dyDescent="0.35">
      <c r="A32" s="5" t="s">
        <v>140</v>
      </c>
      <c r="B32" s="5" t="s">
        <v>141</v>
      </c>
      <c r="C32" s="5" t="s">
        <v>142</v>
      </c>
      <c r="D32" s="5">
        <v>484</v>
      </c>
      <c r="E32" s="5">
        <v>52</v>
      </c>
    </row>
    <row r="33" spans="1:5" x14ac:dyDescent="0.35">
      <c r="A33" s="5" t="s">
        <v>143</v>
      </c>
      <c r="B33" s="5" t="s">
        <v>144</v>
      </c>
      <c r="C33" s="5" t="s">
        <v>145</v>
      </c>
      <c r="D33" s="5">
        <v>498</v>
      </c>
      <c r="E33" s="5">
        <v>373</v>
      </c>
    </row>
    <row r="34" spans="1:5" x14ac:dyDescent="0.35">
      <c r="A34" s="5" t="s">
        <v>146</v>
      </c>
      <c r="B34" s="5" t="s">
        <v>147</v>
      </c>
      <c r="C34" s="5" t="s">
        <v>148</v>
      </c>
      <c r="D34" s="5">
        <v>528</v>
      </c>
      <c r="E34" s="5">
        <v>31</v>
      </c>
    </row>
    <row r="35" spans="1:5" x14ac:dyDescent="0.35">
      <c r="A35" s="5" t="s">
        <v>149</v>
      </c>
      <c r="B35" s="5" t="s">
        <v>150</v>
      </c>
      <c r="C35" s="5" t="s">
        <v>151</v>
      </c>
      <c r="D35" s="5">
        <v>578</v>
      </c>
      <c r="E35" s="5">
        <v>47</v>
      </c>
    </row>
    <row r="36" spans="1:5" x14ac:dyDescent="0.35">
      <c r="A36" s="5" t="s">
        <v>152</v>
      </c>
      <c r="B36" s="5" t="s">
        <v>153</v>
      </c>
      <c r="C36" s="5" t="s">
        <v>154</v>
      </c>
      <c r="D36" s="5">
        <v>616</v>
      </c>
      <c r="E36" s="5">
        <v>48</v>
      </c>
    </row>
    <row r="37" spans="1:5" x14ac:dyDescent="0.35">
      <c r="A37" s="5" t="s">
        <v>155</v>
      </c>
      <c r="B37" s="5" t="s">
        <v>156</v>
      </c>
      <c r="C37" s="5" t="s">
        <v>157</v>
      </c>
      <c r="D37" s="5">
        <v>620</v>
      </c>
      <c r="E37" s="5">
        <v>351</v>
      </c>
    </row>
    <row r="38" spans="1:5" x14ac:dyDescent="0.35">
      <c r="A38" s="5" t="s">
        <v>158</v>
      </c>
      <c r="B38" s="5" t="s">
        <v>159</v>
      </c>
      <c r="C38" s="5" t="s">
        <v>160</v>
      </c>
      <c r="D38" s="5">
        <v>642</v>
      </c>
      <c r="E38" s="5">
        <v>40</v>
      </c>
    </row>
    <row r="39" spans="1:5" x14ac:dyDescent="0.35">
      <c r="A39" s="5" t="s">
        <v>161</v>
      </c>
      <c r="B39" s="5" t="s">
        <v>162</v>
      </c>
      <c r="C39" s="5" t="s">
        <v>163</v>
      </c>
      <c r="D39" s="5">
        <v>688</v>
      </c>
      <c r="E39" s="5">
        <v>381</v>
      </c>
    </row>
    <row r="40" spans="1:5" x14ac:dyDescent="0.35">
      <c r="A40" s="5" t="s">
        <v>164</v>
      </c>
      <c r="B40" s="5" t="s">
        <v>165</v>
      </c>
      <c r="C40" s="5" t="s">
        <v>166</v>
      </c>
      <c r="D40" s="5">
        <v>702</v>
      </c>
      <c r="E40" s="5">
        <v>65</v>
      </c>
    </row>
    <row r="41" spans="1:5" x14ac:dyDescent="0.35">
      <c r="A41" s="5" t="s">
        <v>167</v>
      </c>
      <c r="B41" s="5" t="s">
        <v>168</v>
      </c>
      <c r="C41" s="5" t="s">
        <v>169</v>
      </c>
      <c r="D41" s="5">
        <v>703</v>
      </c>
      <c r="E41" s="5">
        <v>421</v>
      </c>
    </row>
    <row r="42" spans="1:5" x14ac:dyDescent="0.35">
      <c r="A42" s="5" t="s">
        <v>170</v>
      </c>
      <c r="B42" s="5" t="s">
        <v>171</v>
      </c>
      <c r="C42" s="5" t="s">
        <v>172</v>
      </c>
      <c r="D42" s="5">
        <v>705</v>
      </c>
      <c r="E42" s="5">
        <v>386</v>
      </c>
    </row>
    <row r="43" spans="1:5" x14ac:dyDescent="0.35">
      <c r="A43" s="5" t="s">
        <v>173</v>
      </c>
      <c r="B43" s="5" t="s">
        <v>174</v>
      </c>
      <c r="C43" s="5" t="s">
        <v>175</v>
      </c>
      <c r="D43" s="5">
        <v>710</v>
      </c>
      <c r="E43" s="5">
        <v>27</v>
      </c>
    </row>
    <row r="44" spans="1:5" x14ac:dyDescent="0.35">
      <c r="A44" s="5" t="s">
        <v>176</v>
      </c>
      <c r="B44" s="5" t="s">
        <v>177</v>
      </c>
      <c r="C44" s="5" t="s">
        <v>178</v>
      </c>
      <c r="D44" s="5">
        <v>724</v>
      </c>
      <c r="E44" s="5">
        <v>34</v>
      </c>
    </row>
    <row r="45" spans="1:5" x14ac:dyDescent="0.35">
      <c r="A45" s="5" t="s">
        <v>179</v>
      </c>
      <c r="B45" s="5" t="s">
        <v>180</v>
      </c>
      <c r="C45" s="5" t="s">
        <v>181</v>
      </c>
      <c r="D45" s="5">
        <v>752</v>
      </c>
      <c r="E45" s="5">
        <v>46</v>
      </c>
    </row>
    <row r="46" spans="1:5" x14ac:dyDescent="0.35">
      <c r="A46" s="5" t="s">
        <v>182</v>
      </c>
      <c r="B46" s="5" t="s">
        <v>183</v>
      </c>
      <c r="C46" s="5" t="s">
        <v>184</v>
      </c>
      <c r="D46" s="5">
        <v>756</v>
      </c>
      <c r="E46" s="5">
        <v>41</v>
      </c>
    </row>
    <row r="47" spans="1:5" x14ac:dyDescent="0.35">
      <c r="A47" s="5" t="s">
        <v>185</v>
      </c>
      <c r="B47" s="5" t="s">
        <v>186</v>
      </c>
      <c r="C47" s="5" t="s">
        <v>187</v>
      </c>
      <c r="D47" s="5">
        <v>792</v>
      </c>
      <c r="E47" s="5">
        <v>90</v>
      </c>
    </row>
    <row r="48" spans="1:5" x14ac:dyDescent="0.35">
      <c r="A48" s="5" t="s">
        <v>188</v>
      </c>
      <c r="B48" s="5" t="s">
        <v>189</v>
      </c>
      <c r="C48" s="5" t="s">
        <v>190</v>
      </c>
      <c r="D48" s="5">
        <v>804</v>
      </c>
      <c r="E48" s="5">
        <v>380</v>
      </c>
    </row>
    <row r="49" spans="1:5" x14ac:dyDescent="0.35">
      <c r="A49" s="5" t="s">
        <v>191</v>
      </c>
      <c r="B49" s="5" t="s">
        <v>192</v>
      </c>
      <c r="C49" s="5" t="s">
        <v>193</v>
      </c>
      <c r="D49" s="5">
        <v>784</v>
      </c>
      <c r="E49" s="5">
        <v>971</v>
      </c>
    </row>
    <row r="50" spans="1:5" x14ac:dyDescent="0.35">
      <c r="A50" s="5" t="s">
        <v>194</v>
      </c>
      <c r="B50" s="5" t="s">
        <v>195</v>
      </c>
      <c r="C50" s="5" t="s">
        <v>196</v>
      </c>
      <c r="D50" s="5">
        <v>826</v>
      </c>
      <c r="E50" s="5">
        <v>44</v>
      </c>
    </row>
    <row r="51" spans="1:5" x14ac:dyDescent="0.35">
      <c r="A51" s="5" t="s">
        <v>197</v>
      </c>
      <c r="B51" s="5" t="s">
        <v>198</v>
      </c>
      <c r="C51" s="5" t="s">
        <v>199</v>
      </c>
      <c r="D51" s="5">
        <v>840</v>
      </c>
      <c r="E51" s="5">
        <v>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29" sqref="I29"/>
    </sheetView>
  </sheetViews>
  <sheetFormatPr defaultRowHeight="14.5" x14ac:dyDescent="0.35"/>
  <cols>
    <col min="1" max="1" width="12" customWidth="1"/>
    <col min="2" max="2" width="14" customWidth="1"/>
    <col min="3" max="3" width="22" customWidth="1"/>
    <col min="4" max="7" width="11" customWidth="1"/>
    <col min="8" max="8" width="20" customWidth="1"/>
    <col min="9" max="19" width="11" customWidth="1"/>
    <col min="20" max="20" width="58" customWidth="1"/>
    <col min="21" max="22" width="16" customWidth="1"/>
    <col min="24" max="24" width="46" customWidth="1"/>
  </cols>
  <sheetData>
    <row r="1" spans="1:24" x14ac:dyDescent="0.35">
      <c r="A1" s="4" t="s">
        <v>200</v>
      </c>
      <c r="B1" s="4" t="s">
        <v>201</v>
      </c>
      <c r="C1" s="4" t="s">
        <v>202</v>
      </c>
      <c r="D1" s="4" t="s">
        <v>203</v>
      </c>
      <c r="E1" s="4" t="s">
        <v>204</v>
      </c>
      <c r="F1" s="4" t="s">
        <v>205</v>
      </c>
      <c r="G1" s="4" t="s">
        <v>206</v>
      </c>
      <c r="H1" s="4" t="s">
        <v>207</v>
      </c>
      <c r="I1" s="4" t="s">
        <v>208</v>
      </c>
      <c r="J1" s="4" t="s">
        <v>209</v>
      </c>
      <c r="K1" s="4" t="s">
        <v>210</v>
      </c>
      <c r="L1" s="4" t="s">
        <v>211</v>
      </c>
      <c r="M1" s="4" t="s">
        <v>212</v>
      </c>
      <c r="N1" s="4" t="s">
        <v>213</v>
      </c>
      <c r="O1" s="4" t="s">
        <v>214</v>
      </c>
      <c r="P1" s="4" t="s">
        <v>215</v>
      </c>
      <c r="Q1" s="4" t="s">
        <v>216</v>
      </c>
      <c r="R1" s="4" t="s">
        <v>217</v>
      </c>
      <c r="S1" s="4" t="s">
        <v>218</v>
      </c>
      <c r="T1" s="4" t="s">
        <v>219</v>
      </c>
      <c r="U1" s="4" t="s">
        <v>220</v>
      </c>
      <c r="V1" s="4" t="s">
        <v>221</v>
      </c>
      <c r="W1" s="4"/>
      <c r="X1" s="4" t="s">
        <v>222</v>
      </c>
    </row>
    <row r="2" spans="1:24" x14ac:dyDescent="0.35">
      <c r="A2" s="5" t="s">
        <v>223</v>
      </c>
      <c r="B2" s="5" t="s">
        <v>224</v>
      </c>
      <c r="C2" s="6" t="s">
        <v>225</v>
      </c>
      <c r="D2" s="5"/>
      <c r="E2" s="5"/>
      <c r="F2" s="5"/>
      <c r="G2" s="5"/>
      <c r="H2" s="5" t="s">
        <v>158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 t="str">
        <f>IF($C2="","",IF(NOT(ISNUMBER($V2+0)),"Invalid characters - digits only (+ ( ) - . and spaces are tolerated)",IF(LEN($V2)&lt;8,"Too short - "&amp;LEN($V2)&amp;" digits (min 8)",IF(LEN($V2)&gt;15,"Too long - "&amp;LEN($V2)&amp;" digits (max 15)",IF($H2="","SIM_Country is empty - cannot check the country code",IF(ISNA(MATCH($H2,tblCountries[Name],0)),"SIM_Country """&amp;$H2&amp;""" not found in tblCountries",IF(LEFT($V2,LEN(TEXT(INDEX(tblCountries[DialCode],MATCH($H2,tblCountries[Name],0)),"0")))&lt;&gt;TEXT(INDEX(tblCountries[DialCode],MATCH($H2,tblCountries[Name],0)),"0"),"Wrong country code - must start with +"&amp;TEXT(INDEX(tblCountries[DialCode],MATCH($H2,tblCountries[Name],0)),"0")&amp;" for "&amp;$H2,"OK")))))))</f>
        <v>OK</v>
      </c>
      <c r="U2" s="5"/>
      <c r="V2" s="6" t="str">
        <f t="shared" ref="V2:V16" si="0">IF($C2="","",IF(LEFT(SUBSTITUTE(SUBSTITUTE(SUBSTITUTE(SUBSTITUTE(SUBSTITUTE(SUBSTITUTE(SUBSTITUTE(TRIM($C2&amp;""),"+","")," ",""),"-",""),"(",""),")",""),".",""),CHAR(160),""),2)="00",MID(SUBSTITUTE(SUBSTITUTE(SUBSTITUTE(SUBSTITUTE(SUBSTITUTE(SUBSTITUTE(SUBSTITUTE(TRIM($C2&amp;""),"+","")," ",""),"-",""),"(",""),")",""),".",""),CHAR(160),""),3,255),SUBSTITUTE(SUBSTITUTE(SUBSTITUTE(SUBSTITUTE(SUBSTITUTE(SUBSTITUTE(SUBSTITUTE(TRIM($C2&amp;""),"+","")," ",""),"-",""),"(",""),")",""),".",""),CHAR(160),"")))</f>
        <v>40712345678</v>
      </c>
      <c r="W2" s="5"/>
      <c r="X2" s="7" t="s">
        <v>226</v>
      </c>
    </row>
    <row r="3" spans="1:24" x14ac:dyDescent="0.35">
      <c r="A3" s="5" t="s">
        <v>227</v>
      </c>
      <c r="B3" s="5" t="s">
        <v>228</v>
      </c>
      <c r="C3" s="6" t="s">
        <v>229</v>
      </c>
      <c r="D3" s="5"/>
      <c r="E3" s="5"/>
      <c r="F3" s="5"/>
      <c r="G3" s="5"/>
      <c r="H3" s="5" t="s">
        <v>158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 t="str">
        <f>IF($C3="","",IF(NOT(ISNUMBER($V3+0)),"Invalid characters - digits only (+ ( ) - . and spaces are tolerated)",IF(LEN($V3)&lt;8,"Too short - "&amp;LEN($V3)&amp;" digits (min 8)",IF(LEN($V3)&gt;15,"Too long - "&amp;LEN($V3)&amp;" digits (max 15)",IF($H3="","SIM_Country is empty - cannot check the country code",IF(ISNA(MATCH($H3,tblCountries[Name],0)),"SIM_Country """&amp;$H3&amp;""" not found in tblCountries",IF(LEFT($V3,LEN(TEXT(INDEX(tblCountries[DialCode],MATCH($H3,tblCountries[Name],0)),"0")))&lt;&gt;TEXT(INDEX(tblCountries[DialCode],MATCH($H3,tblCountries[Name],0)),"0"),"Wrong country code - must start with +"&amp;TEXT(INDEX(tblCountries[DialCode],MATCH($H3,tblCountries[Name],0)),"0")&amp;" for "&amp;$H3,"OK")))))))</f>
        <v>OK</v>
      </c>
      <c r="U3" s="5"/>
      <c r="V3" s="6" t="str">
        <f t="shared" si="0"/>
        <v>40712345678</v>
      </c>
      <c r="W3" s="5"/>
      <c r="X3" s="7" t="s">
        <v>230</v>
      </c>
    </row>
    <row r="4" spans="1:24" x14ac:dyDescent="0.35">
      <c r="A4" s="5" t="s">
        <v>231</v>
      </c>
      <c r="B4" s="5" t="s">
        <v>232</v>
      </c>
      <c r="C4" s="6" t="s">
        <v>233</v>
      </c>
      <c r="D4" s="5"/>
      <c r="E4" s="5"/>
      <c r="F4" s="5"/>
      <c r="G4" s="5"/>
      <c r="H4" s="5" t="s">
        <v>158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 t="str">
        <f>IF($C4="","",IF(NOT(ISNUMBER($V4+0)),"Invalid characters - digits only (+ ( ) - . and spaces are tolerated)",IF(LEN($V4)&lt;8,"Too short - "&amp;LEN($V4)&amp;" digits (min 8)",IF(LEN($V4)&gt;15,"Too long - "&amp;LEN($V4)&amp;" digits (max 15)",IF($H4="","SIM_Country is empty - cannot check the country code",IF(ISNA(MATCH($H4,tblCountries[Name],0)),"SIM_Country """&amp;$H4&amp;""" not found in tblCountries",IF(LEFT($V4,LEN(TEXT(INDEX(tblCountries[DialCode],MATCH($H4,tblCountries[Name],0)),"0")))&lt;&gt;TEXT(INDEX(tblCountries[DialCode],MATCH($H4,tblCountries[Name],0)),"0"),"Wrong country code - must start with +"&amp;TEXT(INDEX(tblCountries[DialCode],MATCH($H4,tblCountries[Name],0)),"0")&amp;" for "&amp;$H4,"OK")))))))</f>
        <v>Wrong country code - must start with +40 for Romania</v>
      </c>
      <c r="U4" s="5"/>
      <c r="V4" s="6" t="str">
        <f t="shared" si="0"/>
        <v>0712345678</v>
      </c>
      <c r="W4" s="5"/>
      <c r="X4" s="7" t="s">
        <v>234</v>
      </c>
    </row>
    <row r="5" spans="1:24" x14ac:dyDescent="0.35">
      <c r="A5" s="5" t="s">
        <v>235</v>
      </c>
      <c r="B5" s="5" t="s">
        <v>236</v>
      </c>
      <c r="C5" s="6" t="s">
        <v>237</v>
      </c>
      <c r="D5" s="5"/>
      <c r="E5" s="5"/>
      <c r="F5" s="5"/>
      <c r="G5" s="5"/>
      <c r="H5" s="5" t="s">
        <v>92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 t="str">
        <f>IF($C5="","",IF(NOT(ISNUMBER($V5+0)),"Invalid characters - digits only (+ ( ) - . and spaces are tolerated)",IF(LEN($V5)&lt;8,"Too short - "&amp;LEN($V5)&amp;" digits (min 8)",IF(LEN($V5)&gt;15,"Too long - "&amp;LEN($V5)&amp;" digits (max 15)",IF($H5="","SIM_Country is empty - cannot check the country code",IF(ISNA(MATCH($H5,tblCountries[Name],0)),"SIM_Country """&amp;$H5&amp;""" not found in tblCountries",IF(LEFT($V5,LEN(TEXT(INDEX(tblCountries[DialCode],MATCH($H5,tblCountries[Name],0)),"0")))&lt;&gt;TEXT(INDEX(tblCountries[DialCode],MATCH($H5,tblCountries[Name],0)),"0"),"Wrong country code - must start with +"&amp;TEXT(INDEX(tblCountries[DialCode],MATCH($H5,tblCountries[Name],0)),"0")&amp;" for "&amp;$H5,"OK")))))))</f>
        <v>OK</v>
      </c>
      <c r="U5" s="5"/>
      <c r="V5" s="6" t="str">
        <f t="shared" si="0"/>
        <v>4915112345678</v>
      </c>
      <c r="W5" s="5"/>
      <c r="X5" s="7" t="s">
        <v>238</v>
      </c>
    </row>
    <row r="6" spans="1:24" x14ac:dyDescent="0.35">
      <c r="A6" s="5" t="s">
        <v>239</v>
      </c>
      <c r="B6" s="5" t="s">
        <v>240</v>
      </c>
      <c r="C6" s="6" t="s">
        <v>241</v>
      </c>
      <c r="D6" s="5"/>
      <c r="E6" s="5"/>
      <c r="F6" s="5"/>
      <c r="G6" s="5"/>
      <c r="H6" s="5" t="s">
        <v>89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 t="str">
        <f>IF($C6="","",IF(NOT(ISNUMBER($V6+0)),"Invalid characters - digits only (+ ( ) - . and spaces are tolerated)",IF(LEN($V6)&lt;8,"Too short - "&amp;LEN($V6)&amp;" digits (min 8)",IF(LEN($V6)&gt;15,"Too long - "&amp;LEN($V6)&amp;" digits (max 15)",IF($H6="","SIM_Country is empty - cannot check the country code",IF(ISNA(MATCH($H6,tblCountries[Name],0)),"SIM_Country """&amp;$H6&amp;""" not found in tblCountries",IF(LEFT($V6,LEN(TEXT(INDEX(tblCountries[DialCode],MATCH($H6,tblCountries[Name],0)),"0")))&lt;&gt;TEXT(INDEX(tblCountries[DialCode],MATCH($H6,tblCountries[Name],0)),"0"),"Wrong country code - must start with +"&amp;TEXT(INDEX(tblCountries[DialCode],MATCH($H6,tblCountries[Name],0)),"0")&amp;" for "&amp;$H6,"OK")))))))</f>
        <v>OK</v>
      </c>
      <c r="U6" s="5"/>
      <c r="V6" s="6" t="str">
        <f t="shared" si="0"/>
        <v>33612345678</v>
      </c>
      <c r="W6" s="5"/>
      <c r="X6" s="7" t="s">
        <v>242</v>
      </c>
    </row>
    <row r="7" spans="1:24" x14ac:dyDescent="0.35">
      <c r="A7" s="5" t="s">
        <v>243</v>
      </c>
      <c r="B7" s="5" t="s">
        <v>244</v>
      </c>
      <c r="C7" s="6" t="s">
        <v>245</v>
      </c>
      <c r="D7" s="5"/>
      <c r="E7" s="5"/>
      <c r="F7" s="5"/>
      <c r="G7" s="5"/>
      <c r="H7" s="5" t="s">
        <v>146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tr">
        <f>IF($C7="","",IF(NOT(ISNUMBER($V7+0)),"Invalid characters - digits only (+ ( ) - . and spaces are tolerated)",IF(LEN($V7)&lt;8,"Too short - "&amp;LEN($V7)&amp;" digits (min 8)",IF(LEN($V7)&gt;15,"Too long - "&amp;LEN($V7)&amp;" digits (max 15)",IF($H7="","SIM_Country is empty - cannot check the country code",IF(ISNA(MATCH($H7,tblCountries[Name],0)),"SIM_Country """&amp;$H7&amp;""" not found in tblCountries",IF(LEFT($V7,LEN(TEXT(INDEX(tblCountries[DialCode],MATCH($H7,tblCountries[Name],0)),"0")))&lt;&gt;TEXT(INDEX(tblCountries[DialCode],MATCH($H7,tblCountries[Name],0)),"0"),"Wrong country code - must start with +"&amp;TEXT(INDEX(tblCountries[DialCode],MATCH($H7,tblCountries[Name],0)),"0")&amp;" for "&amp;$H7,"OK")))))))</f>
        <v>OK</v>
      </c>
      <c r="U7" s="5"/>
      <c r="V7" s="6" t="str">
        <f t="shared" si="0"/>
        <v>31612345678</v>
      </c>
      <c r="W7" s="5"/>
      <c r="X7" s="7" t="s">
        <v>246</v>
      </c>
    </row>
    <row r="8" spans="1:24" x14ac:dyDescent="0.35">
      <c r="A8" s="5" t="s">
        <v>247</v>
      </c>
      <c r="B8" s="5" t="s">
        <v>248</v>
      </c>
      <c r="C8" s="6" t="s">
        <v>249</v>
      </c>
      <c r="D8" s="5"/>
      <c r="E8" s="5"/>
      <c r="F8" s="5"/>
      <c r="G8" s="5"/>
      <c r="H8" s="5" t="s">
        <v>116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 t="str">
        <f>IF($C8="","",IF(NOT(ISNUMBER($V8+0)),"Invalid characters - digits only (+ ( ) - . and spaces are tolerated)",IF(LEN($V8)&lt;8,"Too short - "&amp;LEN($V8)&amp;" digits (min 8)",IF(LEN($V8)&gt;15,"Too long - "&amp;LEN($V8)&amp;" digits (max 15)",IF($H8="","SIM_Country is empty - cannot check the country code",IF(ISNA(MATCH($H8,tblCountries[Name],0)),"SIM_Country """&amp;$H8&amp;""" not found in tblCountries",IF(LEFT($V8,LEN(TEXT(INDEX(tblCountries[DialCode],MATCH($H8,tblCountries[Name],0)),"0")))&lt;&gt;TEXT(INDEX(tblCountries[DialCode],MATCH($H8,tblCountries[Name],0)),"0"),"Wrong country code - must start with +"&amp;TEXT(INDEX(tblCountries[DialCode],MATCH($H8,tblCountries[Name],0)),"0")&amp;" for "&amp;$H8,"OK")))))))</f>
        <v>Too short - 5 digits (min 8)</v>
      </c>
      <c r="U8" s="5"/>
      <c r="V8" s="6" t="str">
        <f t="shared" si="0"/>
        <v>39123</v>
      </c>
      <c r="W8" s="5"/>
      <c r="X8" s="7" t="s">
        <v>250</v>
      </c>
    </row>
    <row r="9" spans="1:24" x14ac:dyDescent="0.35">
      <c r="A9" s="5" t="s">
        <v>251</v>
      </c>
      <c r="B9" s="5" t="s">
        <v>252</v>
      </c>
      <c r="C9" s="6" t="s">
        <v>253</v>
      </c>
      <c r="D9" s="5"/>
      <c r="E9" s="5"/>
      <c r="F9" s="5"/>
      <c r="G9" s="5"/>
      <c r="H9" s="5" t="s">
        <v>176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 t="str">
        <f>IF($C9="","",IF(NOT(ISNUMBER($V9+0)),"Invalid characters - digits only (+ ( ) - . and spaces are tolerated)",IF(LEN($V9)&lt;8,"Too short - "&amp;LEN($V9)&amp;" digits (min 8)",IF(LEN($V9)&gt;15,"Too long - "&amp;LEN($V9)&amp;" digits (max 15)",IF($H9="","SIM_Country is empty - cannot check the country code",IF(ISNA(MATCH($H9,tblCountries[Name],0)),"SIM_Country """&amp;$H9&amp;""" not found in tblCountries",IF(LEFT($V9,LEN(TEXT(INDEX(tblCountries[DialCode],MATCH($H9,tblCountries[Name],0)),"0")))&lt;&gt;TEXT(INDEX(tblCountries[DialCode],MATCH($H9,tblCountries[Name],0)),"0"),"Wrong country code - must start with +"&amp;TEXT(INDEX(tblCountries[DialCode],MATCH($H9,tblCountries[Name],0)),"0")&amp;" for "&amp;$H9,"OK")))))))</f>
        <v>Too long - 17 digits (max 15)</v>
      </c>
      <c r="U9" s="5"/>
      <c r="V9" s="6" t="str">
        <f t="shared" si="0"/>
        <v>34123456789012345</v>
      </c>
      <c r="W9" s="5"/>
      <c r="X9" s="7" t="s">
        <v>254</v>
      </c>
    </row>
    <row r="10" spans="1:24" x14ac:dyDescent="0.35">
      <c r="A10" s="5" t="s">
        <v>255</v>
      </c>
      <c r="B10" s="5" t="s">
        <v>256</v>
      </c>
      <c r="C10" s="6" t="s">
        <v>257</v>
      </c>
      <c r="D10" s="5"/>
      <c r="E10" s="5"/>
      <c r="F10" s="5"/>
      <c r="G10" s="5"/>
      <c r="H10" s="5" t="s">
        <v>194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 t="str">
        <f>IF($C10="","",IF(NOT(ISNUMBER($V10+0)),"Invalid characters - digits only (+ ( ) - . and spaces are tolerated)",IF(LEN($V10)&lt;8,"Too short - "&amp;LEN($V10)&amp;" digits (min 8)",IF(LEN($V10)&gt;15,"Too long - "&amp;LEN($V10)&amp;" digits (max 15)",IF($H10="","SIM_Country is empty - cannot check the country code",IF(ISNA(MATCH($H10,tblCountries[Name],0)),"SIM_Country """&amp;$H10&amp;""" not found in tblCountries",IF(LEFT($V10,LEN(TEXT(INDEX(tblCountries[DialCode],MATCH($H10,tblCountries[Name],0)),"0")))&lt;&gt;TEXT(INDEX(tblCountries[DialCode],MATCH($H10,tblCountries[Name],0)),"0"),"Wrong country code - must start with +"&amp;TEXT(INDEX(tblCountries[DialCode],MATCH($H10,tblCountries[Name],0)),"0")&amp;" for "&amp;$H10,"OK")))))))</f>
        <v>Invalid characters - digits only (+ ( ) - . and spaces are tolerated)</v>
      </c>
      <c r="U10" s="5"/>
      <c r="V10" s="6" t="str">
        <f t="shared" si="0"/>
        <v>44ABC12345</v>
      </c>
      <c r="W10" s="5"/>
      <c r="X10" s="7" t="s">
        <v>258</v>
      </c>
    </row>
    <row r="11" spans="1:24" x14ac:dyDescent="0.35">
      <c r="A11" s="5" t="s">
        <v>259</v>
      </c>
      <c r="B11" s="5" t="s">
        <v>260</v>
      </c>
      <c r="C11" s="6" t="s">
        <v>225</v>
      </c>
      <c r="D11" s="5"/>
      <c r="E11" s="5"/>
      <c r="F11" s="5"/>
      <c r="G11" s="5"/>
      <c r="H11" s="5" t="s">
        <v>152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 t="str">
        <f>IF($C11="","",IF(NOT(ISNUMBER($V11+0)),"Invalid characters - digits only (+ ( ) - . and spaces are tolerated)",IF(LEN($V11)&lt;8,"Too short - "&amp;LEN($V11)&amp;" digits (min 8)",IF(LEN($V11)&gt;15,"Too long - "&amp;LEN($V11)&amp;" digits (max 15)",IF($H11="","SIM_Country is empty - cannot check the country code",IF(ISNA(MATCH($H11,tblCountries[Name],0)),"SIM_Country """&amp;$H11&amp;""" not found in tblCountries",IF(LEFT($V11,LEN(TEXT(INDEX(tblCountries[DialCode],MATCH($H11,tblCountries[Name],0)),"0")))&lt;&gt;TEXT(INDEX(tblCountries[DialCode],MATCH($H11,tblCountries[Name],0)),"0"),"Wrong country code - must start with +"&amp;TEXT(INDEX(tblCountries[DialCode],MATCH($H11,tblCountries[Name],0)),"0")&amp;" for "&amp;$H11,"OK")))))))</f>
        <v>Wrong country code - must start with +48 for Poland</v>
      </c>
      <c r="U11" s="5"/>
      <c r="V11" s="6" t="str">
        <f t="shared" si="0"/>
        <v>40712345678</v>
      </c>
      <c r="W11" s="5"/>
      <c r="X11" s="7" t="s">
        <v>261</v>
      </c>
    </row>
    <row r="12" spans="1:24" x14ac:dyDescent="0.35">
      <c r="A12" s="5" t="s">
        <v>262</v>
      </c>
      <c r="B12" s="5" t="s">
        <v>263</v>
      </c>
      <c r="C12" s="6" t="s">
        <v>225</v>
      </c>
      <c r="D12" s="5"/>
      <c r="E12" s="5"/>
      <c r="F12" s="5"/>
      <c r="G12" s="5"/>
      <c r="H12" s="5" t="s">
        <v>264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 t="str">
        <f>IF($C12="","",IF(NOT(ISNUMBER($V12+0)),"Invalid characters - digits only (+ ( ) - . and spaces are tolerated)",IF(LEN($V12)&lt;8,"Too short - "&amp;LEN($V12)&amp;" digits (min 8)",IF(LEN($V12)&gt;15,"Too long - "&amp;LEN($V12)&amp;" digits (max 15)",IF($H12="","SIM_Country is empty - cannot check the country code",IF(ISNA(MATCH($H12,tblCountries[Name],0)),"SIM_Country """&amp;$H12&amp;""" not found in tblCountries",IF(LEFT($V12,LEN(TEXT(INDEX(tblCountries[DialCode],MATCH($H12,tblCountries[Name],0)),"0")))&lt;&gt;TEXT(INDEX(tblCountries[DialCode],MATCH($H12,tblCountries[Name],0)),"0"),"Wrong country code - must start with +"&amp;TEXT(INDEX(tblCountries[DialCode],MATCH($H12,tblCountries[Name],0)),"0")&amp;" for "&amp;$H12,"OK")))))))</f>
        <v>SIM_Country "Wakanda" not found in tblCountries</v>
      </c>
      <c r="U12" s="5"/>
      <c r="V12" s="6" t="str">
        <f t="shared" si="0"/>
        <v>40712345678</v>
      </c>
      <c r="W12" s="5"/>
      <c r="X12" s="7" t="s">
        <v>265</v>
      </c>
    </row>
    <row r="13" spans="1:24" x14ac:dyDescent="0.35">
      <c r="A13" s="5" t="s">
        <v>266</v>
      </c>
      <c r="B13" s="5" t="s">
        <v>267</v>
      </c>
      <c r="C13" s="6" t="s">
        <v>268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 t="str">
        <f>IF($C13="","",IF(NOT(ISNUMBER($V13+0)),"Invalid characters - digits only (+ ( ) - . and spaces are tolerated)",IF(LEN($V13)&lt;8,"Too short - "&amp;LEN($V13)&amp;" digits (min 8)",IF(LEN($V13)&gt;15,"Too long - "&amp;LEN($V13)&amp;" digits (max 15)",IF($H13="","SIM_Country is empty - cannot check the country code",IF(ISNA(MATCH($H13,tblCountries[Name],0)),"SIM_Country """&amp;$H13&amp;""" not found in tblCountries",IF(LEFT($V13,LEN(TEXT(INDEX(tblCountries[DialCode],MATCH($H13,tblCountries[Name],0)),"0")))&lt;&gt;TEXT(INDEX(tblCountries[DialCode],MATCH($H13,tblCountries[Name],0)),"0"),"Wrong country code - must start with +"&amp;TEXT(INDEX(tblCountries[DialCode],MATCH($H13,tblCountries[Name],0)),"0")&amp;" for "&amp;$H13,"OK")))))))</f>
        <v>SIM_Country is empty - cannot check the country code</v>
      </c>
      <c r="U13" s="5"/>
      <c r="V13" s="6" t="str">
        <f t="shared" si="0"/>
        <v>421912345678</v>
      </c>
      <c r="W13" s="5"/>
      <c r="X13" s="7" t="s">
        <v>269</v>
      </c>
    </row>
    <row r="14" spans="1:24" x14ac:dyDescent="0.35">
      <c r="A14" s="5" t="s">
        <v>270</v>
      </c>
      <c r="B14" s="5" t="s">
        <v>271</v>
      </c>
      <c r="C14" s="6" t="s">
        <v>272</v>
      </c>
      <c r="D14" s="5"/>
      <c r="E14" s="5"/>
      <c r="F14" s="5"/>
      <c r="G14" s="5"/>
      <c r="H14" s="5" t="s">
        <v>197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 t="str">
        <f>IF($C14="","",IF(NOT(ISNUMBER($V14+0)),"Invalid characters - digits only (+ ( ) - . and spaces are tolerated)",IF(LEN($V14)&lt;8,"Too short - "&amp;LEN($V14)&amp;" digits (min 8)",IF(LEN($V14)&gt;15,"Too long - "&amp;LEN($V14)&amp;" digits (max 15)",IF($H14="","SIM_Country is empty - cannot check the country code",IF(ISNA(MATCH($H14,tblCountries[Name],0)),"SIM_Country """&amp;$H14&amp;""" not found in tblCountries",IF(LEFT($V14,LEN(TEXT(INDEX(tblCountries[DialCode],MATCH($H14,tblCountries[Name],0)),"0")))&lt;&gt;TEXT(INDEX(tblCountries[DialCode],MATCH($H14,tblCountries[Name],0)),"0"),"Wrong country code - must start with +"&amp;TEXT(INDEX(tblCountries[DialCode],MATCH($H14,tblCountries[Name],0)),"0")&amp;" for "&amp;$H14,"OK")))))))</f>
        <v>OK</v>
      </c>
      <c r="U14" s="5"/>
      <c r="V14" s="6" t="str">
        <f t="shared" si="0"/>
        <v>12025550143</v>
      </c>
      <c r="W14" s="5"/>
      <c r="X14" s="7" t="s">
        <v>273</v>
      </c>
    </row>
    <row r="15" spans="1:24" x14ac:dyDescent="0.35">
      <c r="A15" s="5" t="s">
        <v>274</v>
      </c>
      <c r="B15" s="5" t="s">
        <v>275</v>
      </c>
      <c r="C15" s="6" t="s">
        <v>276</v>
      </c>
      <c r="D15" s="5"/>
      <c r="E15" s="5"/>
      <c r="F15" s="5"/>
      <c r="G15" s="5"/>
      <c r="H15" s="5" t="s">
        <v>119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 t="str">
        <f>IF($C15="","",IF(NOT(ISNUMBER($V15+0)),"Invalid characters - digits only (+ ( ) - . and spaces are tolerated)",IF(LEN($V15)&lt;8,"Too short - "&amp;LEN($V15)&amp;" digits (min 8)",IF(LEN($V15)&gt;15,"Too long - "&amp;LEN($V15)&amp;" digits (max 15)",IF($H15="","SIM_Country is empty - cannot check the country code",IF(ISNA(MATCH($H15,tblCountries[Name],0)),"SIM_Country """&amp;$H15&amp;""" not found in tblCountries",IF(LEFT($V15,LEN(TEXT(INDEX(tblCountries[DialCode],MATCH($H15,tblCountries[Name],0)),"0")))&lt;&gt;TEXT(INDEX(tblCountries[DialCode],MATCH($H15,tblCountries[Name],0)),"0"),"Wrong country code - must start with +"&amp;TEXT(INDEX(tblCountries[DialCode],MATCH($H15,tblCountries[Name],0)),"0")&amp;" for "&amp;$H15,"OK")))))))</f>
        <v>OK</v>
      </c>
      <c r="U15" s="5"/>
      <c r="V15" s="6" t="str">
        <f t="shared" si="0"/>
        <v>819012345678</v>
      </c>
      <c r="W15" s="5"/>
      <c r="X15" s="7" t="s">
        <v>277</v>
      </c>
    </row>
    <row r="16" spans="1:24" x14ac:dyDescent="0.35">
      <c r="A16" s="5" t="s">
        <v>278</v>
      </c>
      <c r="B16" s="5" t="s">
        <v>279</v>
      </c>
      <c r="C16" s="6" t="s">
        <v>280</v>
      </c>
      <c r="D16" s="5"/>
      <c r="E16" s="5"/>
      <c r="F16" s="5"/>
      <c r="G16" s="5"/>
      <c r="H16" s="5" t="s">
        <v>149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 t="str">
        <f>IF($C16="","",IF(NOT(ISNUMBER($V16+0)),"Invalid characters - digits only (+ ( ) - . and spaces are tolerated)",IF(LEN($V16)&lt;8,"Too short - "&amp;LEN($V16)&amp;" digits (min 8)",IF(LEN($V16)&gt;15,"Too long - "&amp;LEN($V16)&amp;" digits (max 15)",IF($H16="","SIM_Country is empty - cannot check the country code",IF(ISNA(MATCH($H16,tblCountries[Name],0)),"SIM_Country """&amp;$H16&amp;""" not found in tblCountries",IF(LEFT($V16,LEN(TEXT(INDEX(tblCountries[DialCode],MATCH($H16,tblCountries[Name],0)),"0")))&lt;&gt;TEXT(INDEX(tblCountries[DialCode],MATCH($H16,tblCountries[Name],0)),"0"),"Wrong country code - must start with +"&amp;TEXT(INDEX(tblCountries[DialCode],MATCH($H16,tblCountries[Name],0)),"0")&amp;" for "&amp;$H16,"OK")))))))</f>
        <v>OK</v>
      </c>
      <c r="U16" s="5"/>
      <c r="V16" s="6" t="str">
        <f t="shared" si="0"/>
        <v>4791234567</v>
      </c>
      <c r="W16" s="5"/>
      <c r="X16" s="7" t="s">
        <v>242</v>
      </c>
    </row>
  </sheetData>
  <conditionalFormatting sqref="C2:C2000">
    <cfRule type="expression" dxfId="5" priority="1" stopIfTrue="1">
      <formula>AND($C2&lt;&gt;"", ISNUMBER(SEARCH("SIM_Country",$T2)))</formula>
    </cfRule>
    <cfRule type="expression" dxfId="4" priority="2" stopIfTrue="1">
      <formula>AND($C2&lt;&gt;"", $T2&lt;&gt;"", $T2&lt;&gt;"OK")</formula>
    </cfRule>
    <cfRule type="expression" dxfId="3" priority="3">
      <formula>$T2="OK"</formula>
    </cfRule>
  </conditionalFormatting>
  <conditionalFormatting sqref="T2:T2000">
    <cfRule type="expression" dxfId="2" priority="4" stopIfTrue="1">
      <formula>AND($C2&lt;&gt;"", ISNUMBER(SEARCH("SIM_Country",$T2)))</formula>
    </cfRule>
    <cfRule type="expression" dxfId="1" priority="5" stopIfTrue="1">
      <formula>AND($C2&lt;&gt;"", $T2&lt;&gt;"", $T2&lt;&gt;"OK")</formula>
    </cfRule>
    <cfRule type="expression" dxfId="0" priority="6">
      <formula>$T2="OK"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errorStyle="warning" allowBlank="1" showInputMessage="1" showErrorMessage="1" errorTitle="Phone number doesn't match the SIM country" error="Enter 8-15 digits starting with the dial code of this row's SIM_Country._x000a__x000a_See the IsPhoneValid column for the exact reason. You can click Yes to keep it and fix it later - the cell stays red." promptTitle="PhoneNr" prompt="Country code + number, e.g. +40712345678, 40712345678 or 0040712345678." xr:uid="{00000000-0002-0000-0200-000000000000}">
          <x14:formula1>
            <xm:f>OR($C2="",AND(ISNUMBER(IF(LEFT(SUBSTITUTE(SUBSTITUTE(SUBSTITUTE(SUBSTITUTE(SUBSTITUTE(SUBSTITUTE(SUBSTITUTE(TRIM($C2&amp;""),"+","")," ",""),"-",""),"(",""),")",""),".",""),CHAR(160),""),2)="00",MID(SUBSTITUTE(SUBSTITUTE(SUBSTITUTE(SUBSTITUTE(SUBSTITUTE(SUBSTITUTE(SUBSTITUTE(TRIM($C2&amp;""),"+","")," ",""),"-",""),"(",""),")",""),".",""),CHAR(160),""),3,255),SUBSTITUTE(SUBSTITUTE(SUBSTITUTE(SUBSTITUTE(SUBSTITUTE(SUBSTITUTE(SUBSTITUTE(TRIM($C2&amp;""),"+","")," ",""),"-",""),"(",""),")",""),".",""),CHAR(160),""))+0),LEN(IF(LEFT(SUBSTITUTE(SUBSTITUTE(SUBSTITUTE(SUBSTITUTE(SUBSTITUTE(SUBSTITUTE(SUBSTITUTE(TRIM($C2&amp;""),"+","")," ",""),"-",""),"(",""),")",""),".",""),CHAR(160),""),2)="00",MID(SUBSTITUTE(SUBSTITUTE(SUBSTITUTE(SUBSTITUTE(SUBSTITUTE(SUBSTITUTE(SUBSTITUTE(TRIM($C2&amp;""),"+","")," ",""),"-",""),"(",""),")",""),".",""),CHAR(160),""),3,255),SUBSTITUTE(SUBSTITUTE(SUBSTITUTE(SUBSTITUTE(SUBSTITUTE(SUBSTITUTE(SUBSTITUTE(TRIM($C2&amp;""),"+","")," ",""),"-",""),"(",""),")",""),".",""),CHAR(160),"")))&gt;=8,LEN(IF(LEFT(SUBSTITUTE(SUBSTITUTE(SUBSTITUTE(SUBSTITUTE(SUBSTITUTE(SUBSTITUTE(SUBSTITUTE(TRIM($C2&amp;""),"+","")," ",""),"-",""),"(",""),")",""),".",""),CHAR(160),""),2)="00",MID(SUBSTITUTE(SUBSTITUTE(SUBSTITUTE(SUBSTITUTE(SUBSTITUTE(SUBSTITUTE(SUBSTITUTE(TRIM($C2&amp;""),"+","")," ",""),"-",""),"(",""),")",""),".",""),CHAR(160),""),3,255),SUBSTITUTE(SUBSTITUTE(SUBSTITUTE(SUBSTITUTE(SUBSTITUTE(SUBSTITUTE(SUBSTITUTE(TRIM($C2&amp;""),"+","")," ",""),"-",""),"(",""),")",""),".",""),CHAR(160),"")))&lt;=15,NOT(ISNA(MATCH($H2,Config!$A$2:$A$51,0))),LEFT(IF(LEFT(SUBSTITUTE(SUBSTITUTE(SUBSTITUTE(SUBSTITUTE(SUBSTITUTE(SUBSTITUTE(SUBSTITUTE(TRIM($C2&amp;""),"+","")," ",""),"-",""),"(",""),")",""),".",""),CHAR(160),""),2)="00",MID(SUBSTITUTE(SUBSTITUTE(SUBSTITUTE(SUBSTITUTE(SUBSTITUTE(SUBSTITUTE(SUBSTITUTE(TRIM($C2&amp;""),"+","")," ",""),"-",""),"(",""),")",""),".",""),CHAR(160),""),3,255),SUBSTITUTE(SUBSTITUTE(SUBSTITUTE(SUBSTITUTE(SUBSTITUTE(SUBSTITUTE(SUBSTITUTE(TRIM($C2&amp;""),"+","")," ",""),"-",""),"(",""),")",""),".",""),CHAR(160),"")),LEN(TEXT(INDEX(Config!$E$2:$E$51,MATCH($H2,Config!$A$2:$A$51,0)),"0")))=TEXT(INDEX(Config!$E$2:$E$51,MATCH($H2,Config!$A$2:$A$51,0)),"0")))</xm:f>
          </x14:formula1>
          <xm:sqref>C2:C2000</xm:sqref>
        </x14:dataValidation>
        <x14:dataValidation type="list" errorStyle="warning" allowBlank="1" showErrorMessage="1" errorTitle="Unknown country" error="Pick a country from the list, or add it to tblCountries on the Config sheet." xr:uid="{00000000-0002-0000-0200-000001000000}">
          <x14:formula1>
            <xm:f>Config!$A$2:$A$51</xm:f>
          </x14:formula1>
          <xm:sqref>H2:H2000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Readme</vt:lpstr>
      <vt:lpstr>Config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Ilie Danut Mihai</cp:lastModifiedBy>
  <dcterms:created xsi:type="dcterms:W3CDTF">2026-07-30T07:21:43Z</dcterms:created>
  <dcterms:modified xsi:type="dcterms:W3CDTF">2026-07-30T07:53:37Z</dcterms:modified>
</cp:coreProperties>
</file>