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89b7a28405743dd/Documents/Retelistica Edu/"/>
    </mc:Choice>
  </mc:AlternateContent>
  <xr:revisionPtr revIDLastSave="5" documentId="11_A05DFFC82852EE927A2219972BD0A9C05A54CCCE" xr6:coauthVersionLast="47" xr6:coauthVersionMax="47" xr10:uidLastSave="{C26E29FC-65A6-425C-937D-F4ABD9CBFC73}"/>
  <bookViews>
    <workbookView xWindow="-110" yWindow="-110" windowWidth="25820" windowHeight="15500" activeTab="2" xr2:uid="{00000000-000D-0000-FFFF-FFFF00000000}"/>
  </bookViews>
  <sheets>
    <sheet name="Readme" sheetId="1" r:id="rId1"/>
    <sheet name="Config" sheetId="2" r:id="rId2"/>
    <sheet name="que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5" i="3" l="1"/>
  <c r="Z35" i="3"/>
  <c r="W35" i="3"/>
  <c r="V35" i="3"/>
  <c r="AA34" i="3"/>
  <c r="Z34" i="3"/>
  <c r="V34" i="3"/>
  <c r="AA33" i="3"/>
  <c r="Z33" i="3"/>
  <c r="V33" i="3"/>
  <c r="AA32" i="3"/>
  <c r="Z32" i="3"/>
  <c r="V32" i="3"/>
  <c r="AA31" i="3"/>
  <c r="Z31" i="3"/>
  <c r="V31" i="3"/>
  <c r="AA30" i="3"/>
  <c r="Z30" i="3"/>
  <c r="Y30" i="3"/>
  <c r="V30" i="3"/>
  <c r="AA29" i="3"/>
  <c r="Z29" i="3"/>
  <c r="Y29" i="3"/>
  <c r="V29" i="3"/>
  <c r="AA28" i="3"/>
  <c r="Z28" i="3"/>
  <c r="V28" i="3"/>
  <c r="AA27" i="3"/>
  <c r="Z27" i="3"/>
  <c r="V27" i="3"/>
  <c r="AA26" i="3"/>
  <c r="Z26" i="3"/>
  <c r="V26" i="3"/>
  <c r="AA25" i="3"/>
  <c r="Z25" i="3"/>
  <c r="V25" i="3"/>
  <c r="AA24" i="3"/>
  <c r="Z24" i="3"/>
  <c r="V24" i="3"/>
  <c r="AA23" i="3"/>
  <c r="Z23" i="3"/>
  <c r="V23" i="3"/>
  <c r="AA22" i="3"/>
  <c r="Z22" i="3"/>
  <c r="V22" i="3"/>
  <c r="AA21" i="3"/>
  <c r="Z21" i="3"/>
  <c r="V21" i="3"/>
  <c r="AA20" i="3"/>
  <c r="Z20" i="3"/>
  <c r="V20" i="3"/>
  <c r="AA19" i="3"/>
  <c r="Z19" i="3"/>
  <c r="V19" i="3"/>
  <c r="AA18" i="3"/>
  <c r="Z18" i="3"/>
  <c r="V18" i="3"/>
  <c r="AA17" i="3"/>
  <c r="Z17" i="3"/>
  <c r="V17" i="3"/>
  <c r="AA16" i="3"/>
  <c r="Z16" i="3"/>
  <c r="V16" i="3"/>
  <c r="AA15" i="3"/>
  <c r="Z15" i="3"/>
  <c r="V15" i="3"/>
  <c r="AA14" i="3"/>
  <c r="Z14" i="3"/>
  <c r="V14" i="3"/>
  <c r="AA13" i="3"/>
  <c r="Z13" i="3"/>
  <c r="V13" i="3"/>
  <c r="AA12" i="3"/>
  <c r="Z12" i="3"/>
  <c r="V12" i="3"/>
  <c r="AA11" i="3"/>
  <c r="Z11" i="3"/>
  <c r="V11" i="3"/>
  <c r="AA10" i="3"/>
  <c r="Z10" i="3"/>
  <c r="V10" i="3"/>
  <c r="AA9" i="3"/>
  <c r="Z9" i="3"/>
  <c r="V9" i="3"/>
  <c r="AA8" i="3"/>
  <c r="Z8" i="3"/>
  <c r="V8" i="3"/>
  <c r="AA7" i="3"/>
  <c r="Z7" i="3"/>
  <c r="V7" i="3"/>
  <c r="AA6" i="3"/>
  <c r="Z6" i="3"/>
  <c r="V6" i="3"/>
  <c r="AA5" i="3"/>
  <c r="Z5" i="3"/>
  <c r="V5" i="3"/>
  <c r="AA4" i="3"/>
  <c r="Z4" i="3"/>
  <c r="V4" i="3"/>
  <c r="AA3" i="3"/>
  <c r="Z3" i="3"/>
  <c r="V3" i="3"/>
  <c r="AA2" i="3"/>
  <c r="Z2" i="3"/>
  <c r="V2" i="3"/>
  <c r="Y35" i="3"/>
  <c r="X35" i="3"/>
  <c r="X24" i="3"/>
  <c r="X13" i="3"/>
  <c r="X2" i="3"/>
  <c r="Y32" i="3"/>
  <c r="T27" i="3"/>
  <c r="W24" i="3"/>
  <c r="Y21" i="3"/>
  <c r="T16" i="3"/>
  <c r="W13" i="3"/>
  <c r="Y10" i="3"/>
  <c r="T5" i="3"/>
  <c r="W2" i="3"/>
  <c r="W10" i="3"/>
  <c r="T29" i="3"/>
  <c r="T7" i="3"/>
  <c r="X32" i="3"/>
  <c r="X21" i="3"/>
  <c r="X10" i="3"/>
  <c r="W32" i="3"/>
  <c r="T24" i="3"/>
  <c r="W21" i="3"/>
  <c r="Y18" i="3"/>
  <c r="T13" i="3"/>
  <c r="Y7" i="3"/>
  <c r="X18" i="3"/>
  <c r="T32" i="3"/>
  <c r="T21" i="3"/>
  <c r="Y4" i="3"/>
  <c r="X15" i="3"/>
  <c r="W15" i="3"/>
  <c r="W4" i="3"/>
  <c r="X23" i="3"/>
  <c r="T35" i="3"/>
  <c r="X29" i="3"/>
  <c r="Y34" i="3"/>
  <c r="X34" i="3"/>
  <c r="W34" i="3"/>
  <c r="Y31" i="3"/>
  <c r="W23" i="3"/>
  <c r="Y20" i="3"/>
  <c r="W12" i="3"/>
  <c r="Y9" i="3"/>
  <c r="W6" i="3"/>
  <c r="X14" i="3"/>
  <c r="T17" i="3"/>
  <c r="W3" i="3"/>
  <c r="X11" i="3"/>
  <c r="W30" i="3"/>
  <c r="X27" i="3"/>
  <c r="W5" i="3"/>
  <c r="X7" i="3"/>
  <c r="W18" i="3"/>
  <c r="T18" i="3"/>
  <c r="X12" i="3"/>
  <c r="X31" i="3"/>
  <c r="X20" i="3"/>
  <c r="X9" i="3"/>
  <c r="X28" i="3"/>
  <c r="X6" i="3"/>
  <c r="T9" i="3"/>
  <c r="X25" i="3"/>
  <c r="X3" i="3"/>
  <c r="Y33" i="3"/>
  <c r="W14" i="3"/>
  <c r="W33" i="3"/>
  <c r="W22" i="3"/>
  <c r="Y19" i="3"/>
  <c r="W11" i="3"/>
  <c r="X30" i="3"/>
  <c r="Y27" i="3"/>
  <c r="T11" i="3"/>
  <c r="Y5" i="3"/>
  <c r="X5" i="3"/>
  <c r="W27" i="3"/>
  <c r="T19" i="3"/>
  <c r="Y2" i="3"/>
  <c r="Y26" i="3"/>
  <c r="T10" i="3"/>
  <c r="X26" i="3"/>
  <c r="W31" i="3"/>
  <c r="Y28" i="3"/>
  <c r="W20" i="3"/>
  <c r="Y17" i="3"/>
  <c r="W9" i="3"/>
  <c r="Y6" i="3"/>
  <c r="W28" i="3"/>
  <c r="Y25" i="3"/>
  <c r="T20" i="3"/>
  <c r="W17" i="3"/>
  <c r="Y14" i="3"/>
  <c r="Y3" i="3"/>
  <c r="W25" i="3"/>
  <c r="Y22" i="3"/>
  <c r="Y11" i="3"/>
  <c r="X33" i="3"/>
  <c r="T14" i="3"/>
  <c r="Y8" i="3"/>
  <c r="T22" i="3"/>
  <c r="W19" i="3"/>
  <c r="T30" i="3"/>
  <c r="Y13" i="3"/>
  <c r="W29" i="3"/>
  <c r="W7" i="3"/>
  <c r="W26" i="3"/>
  <c r="Y12" i="3"/>
  <c r="X17" i="3"/>
  <c r="T31" i="3"/>
  <c r="T28" i="3"/>
  <c r="T6" i="3"/>
  <c r="X22" i="3"/>
  <c r="X19" i="3"/>
  <c r="X8" i="3"/>
  <c r="W8" i="3"/>
  <c r="Y24" i="3"/>
  <c r="T25" i="3"/>
  <c r="Y16" i="3"/>
  <c r="X16" i="3"/>
  <c r="W16" i="3"/>
  <c r="T8" i="3"/>
  <c r="T2" i="3"/>
  <c r="Y15" i="3"/>
  <c r="X4" i="3"/>
  <c r="Y23" i="3"/>
  <c r="T34" i="3"/>
  <c r="T33" i="3"/>
  <c r="T26" i="3"/>
  <c r="T4" i="3"/>
  <c r="T3" i="3"/>
  <c r="T15" i="3"/>
  <c r="T12" i="3"/>
  <c r="T23" i="3"/>
  <c r="AB23" i="3" l="1"/>
  <c r="AB12" i="3"/>
  <c r="AB15" i="3"/>
  <c r="AB3" i="3"/>
  <c r="AB4" i="3"/>
  <c r="AB26" i="3"/>
  <c r="AB33" i="3"/>
  <c r="AB34" i="3"/>
  <c r="AB2" i="3"/>
  <c r="AB8" i="3"/>
  <c r="AB25" i="3"/>
  <c r="AB6" i="3"/>
  <c r="AB28" i="3"/>
  <c r="AB31" i="3"/>
  <c r="AB30" i="3"/>
  <c r="AB22" i="3"/>
  <c r="AB14" i="3"/>
  <c r="AB20" i="3"/>
  <c r="AB10" i="3"/>
  <c r="AB19" i="3"/>
  <c r="AB11" i="3"/>
  <c r="AB9" i="3"/>
  <c r="AB18" i="3"/>
  <c r="AB17" i="3"/>
  <c r="AB35" i="3"/>
  <c r="AB21" i="3"/>
  <c r="AB32" i="3"/>
  <c r="AB13" i="3"/>
  <c r="AB24" i="3"/>
  <c r="AB7" i="3"/>
  <c r="AB29" i="3"/>
  <c r="AB5" i="3"/>
  <c r="AB16" i="3"/>
  <c r="AB2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Setup</author>
  </authors>
  <commentList>
    <comment ref="E1" authorId="0" shapeId="0" xr:uid="{00000000-0006-0000-0100-000001000000}">
      <text>
        <r>
          <rPr>
            <sz val="11"/>
            <color theme="1"/>
            <rFont val="Calibri"/>
            <family val="2"/>
            <scheme val="minor"/>
          </rPr>
          <t>DialCode is digits only (e.g. 40), no '+'.
The check formula converts it with TEXT(...,"0") before comparing.</t>
        </r>
      </text>
    </comment>
  </commentList>
</comments>
</file>

<file path=xl/sharedStrings.xml><?xml version="1.0" encoding="utf-8"?>
<sst xmlns="http://schemas.openxmlformats.org/spreadsheetml/2006/main" count="581" uniqueCount="406">
  <si>
    <t>SIM data validation - working demo</t>
  </si>
  <si>
    <t>What to try</t>
  </si>
  <si>
    <t>Go to the 'query' sheet and edit PhoneNr, ICC_ID, StartDate, Status, SIM Type or IMEI. Valid entries turn green, broken ones red, and the matching check column tells you exactly what is wrong. RowErrors (column AB) collects every problem in the row on one line.</t>
  </si>
  <si>
    <t>The 33 sample rows exercise every rule. The grey notes to the right of the table say what each row is testing - delete that column and the sample rows before you use this for real.</t>
  </si>
  <si>
    <t>Colour code - the same three colours everywhere</t>
  </si>
  <si>
    <t>Green  = OK</t>
  </si>
  <si>
    <t>Red    = the value is wrong and someone has to fix it</t>
  </si>
  <si>
    <t>Amber  = WARNING. Probably wrong, but not certainly - see below.</t>
  </si>
  <si>
    <t>Every warning message starts with the literal text 'WARNING:', and that prefix is what the amber conditional-formatting rule tests. If you add your own warnings later, keep the prefix and they will colour themselves.</t>
  </si>
  <si>
    <t>PhoneNr  -&gt;  IsPhoneValid (col T), via PhoneClean (col V)</t>
  </si>
  <si>
    <t>Strips  +  space  nbsp  -  (  )  .  and converts a leading 00 to bare digits.</t>
  </si>
  <si>
    <t>Digits only, then length 8-15, then must start with the SIM_Country dial code.</t>
  </si>
  <si>
    <t>AMBER when SIM_Country is blank or not in tblCountries - the number itself may be fine, so the fix belongs in the country cell or the Config sheet, not the phone number.</t>
  </si>
  <si>
    <t>ICC_ID  -&gt;  ICC_Check (col W)</t>
  </si>
  <si>
    <t>Digits only - no +, -, spaces or anything else.</t>
  </si>
  <si>
    <t>Must start with 89 (the ITU-T E.118 telecom prefix).</t>
  </si>
  <si>
    <t>Length 18-22.</t>
  </si>
  <si>
    <t>AMBER when the Luhn check digit does not match. An ICCID's last digit is a Luhn checksum over the preceding ones, so this catches single-digit typos and transposed pairs that length and prefix checks sail straight past. It is amber rather than red because some test and pre-production SIMs genuinely do not comply.</t>
  </si>
  <si>
    <t>HARD ERROR if the cell holds a NUMBER rather than text. Excel carries only 15 significant digits, so an 18-22 digit ICCID typed into a General cell is silently truncated - 8935201234567890123 becomes 8935201234567900000. The column is preformatted as Text here; do the same in your own file BEFORE any data goes in, because by the time you see the error the digits are already gone.</t>
  </si>
  <si>
    <t>IMEI  -&gt;  IMEI_Check (col X)</t>
  </si>
  <si>
    <t>Digits only, exactly 15 digits.</t>
  </si>
  <si>
    <t>AMBER on a Luhn mismatch. You did not ask for this one - an IMEI's 15th digit is also a Luhn check digit, and the formula was already written for ICC_ID, so it costs nothing. Delete that branch of the formula if you don't want it.</t>
  </si>
  <si>
    <t>StartDate  -&gt;  Date_Check (col Y)</t>
  </si>
  <si>
    <t>Accepts a real Excel date OR text in day-month-year form, as you asked. The column is formatted DD-MM-YYYY so real dates display the way you want.</t>
  </si>
  <si>
    <t>Text must be exactly 10 characters: dd-mm-yyyy. '5-3-2026' is rejected - pad to '05-03-2026'.</t>
  </si>
  <si>
    <t>Separators may be  -  or  /  or  .  but both must be the same character.</t>
  </si>
  <si>
    <t>Day 1-31, month 1-12, year 2000-2100, and it must be a real calendar date, so 31-02-2026 is caught.</t>
  </si>
  <si>
    <t>AMBER when a real date falls outside 2000-01-01 .. today+2 years. That is the usual fingerprint of a day/month mix-up that Excel already swallowed.</t>
  </si>
  <si>
    <t>THE LIMIT WORTH KNOWING: once Excel has parsed an entry into a real date, the original typing order is gone and nothing in the sheet can recover it. If your locale is en-US, typing 15-03-2026 gives 15 March, but 03-04-2026 gives 3 APRIL, not 3 April - it becomes March 4th, silently, and the check formula sees a perfectly ordinary date. Formatting the column as Text before entry is the only real defence. Keeping the column Text also makes the strict dd-mm-yyyy check above do all the work.</t>
  </si>
  <si>
    <t>Status  -&gt;  Status_Check (col Z)   and   SIM Type  -&gt;  SIMType_Check (col AA)</t>
  </si>
  <si>
    <t>Allowed values live on the Config sheet in G2:G4 and H2:H3. Edit them there.</t>
  </si>
  <si>
    <t>Both columns have a dropdown, so normal typing cannot go wrong.</t>
  </si>
  <si>
    <t>Matching is CASE-SENSITIVE via EXACT(). 'active' is not 'Active'.</t>
  </si>
  <si>
    <t>AMBER for right value, wrong capitalisation - the message names the correct spelling. RED for a value that is not on the list at all. This split matters for pasted data, which is the only way wrong casing gets in.</t>
  </si>
  <si>
    <t>RowErrors (col AB)</t>
  </si>
  <si>
    <t>Every non-OK check in the row, concatenated and separated by  //  . Filter this column for 'is not equal to OK' to pull the whole worklist in one go. Built with plain concatenation rather than TEXTJOIN so it works in Excel 2016 too.</t>
  </si>
  <si>
    <t>Three Excel constraints that shaped all of this</t>
  </si>
  <si>
    <t>1. Data Validation cannot read the check columns. At the moment validation fires, the check column still holds the result for the PREVIOUS value - the sheet has not recalculated. So each DV rule carries its own simplified copy of the logic. The DV rules are deliberately looser than the check formulas; they are a courtesy popup, not the enforcement.</t>
  </si>
  <si>
    <t>2. Data Validation never fires on pasted data, on fill-down, or from a macro. The conditional formatting does, on every recalculation. Treat the colours as the real net.</t>
  </si>
  <si>
    <t>3. Structured references (tblCountries[Name]) are rejected inside Data Validation and conditional formatting. Those rules therefore use plain ranges like Config!$A$2:$A$51, which are STATIC - widen them if the Config lists grow. The check-column formulas use structured references and need no maintenance.</t>
  </si>
  <si>
    <t>Formula notes</t>
  </si>
  <si>
    <t>The digits-only test is SUMPRODUCT(--ISNUMBER(--MID(x,ROW(INDIRECT("1:"&amp;LEN(x))),1)))=LEN(x) - a true per-character test. It replaces the ISNUMBER(x+0) trick used in the first version, which would have accepted oddities like '1E5'.</t>
  </si>
  <si>
    <t>Luhn is computed with arithmetic only, no IF(), so it needs no Ctrl+Shift+Enter in older Excel.</t>
  </si>
  <si>
    <t>INDEX/MATCH rather than XLOOKUP, nested IF rather than IFS, no LET - so everything runs on Excel 2016 and 2019 as well as 365.</t>
  </si>
  <si>
    <t>Rules NOT implemented - decide if you need them</t>
  </si>
  <si>
    <t>Shared dial codes: +1 is the US, Canada and much of the Caribbean; +7 is Russia and Kazakhstan. A US number validates cleanly as Canada.</t>
  </si>
  <si>
    <t>Trunk zeros: '+40 0712...' (dial code plus a national leading 0) passes the dial-code test but is not valid E.164.</t>
  </si>
  <si>
    <t>Phone length 8-15 is global. Real national numbering plans are narrower and vary by country - add MinLen/MaxLen columns to tblCountries if you need that precision.</t>
  </si>
  <si>
    <t>ICC_ID country consistency: digits 3-4 of an ICCID are the Mobile Country Code, which could be cross-checked against SIM_Country. Not done - it needs an MCC column in tblCountries.</t>
  </si>
  <si>
    <t>No cross-field rules, e.g. eSIM rows arguably should not carry an IMEI, and a Deactivated row might be expected to have an end date.</t>
  </si>
  <si>
    <t>No uniqueness check on ICC_ID, IMEI, PhoneNr or ID. Say the word - it is a COUNTIF away.</t>
  </si>
  <si>
    <t>Name</t>
  </si>
  <si>
    <t>Alpha2</t>
  </si>
  <si>
    <t>Alpha3</t>
  </si>
  <si>
    <t>Num</t>
  </si>
  <si>
    <t>DialCode</t>
  </si>
  <si>
    <t>Status (allowed)</t>
  </si>
  <si>
    <t>SIM Type (allowed)</t>
  </si>
  <si>
    <t>Australia</t>
  </si>
  <si>
    <t>AU</t>
  </si>
  <si>
    <t>AUS</t>
  </si>
  <si>
    <t>Active</t>
  </si>
  <si>
    <t>eSIM</t>
  </si>
  <si>
    <t>Austria</t>
  </si>
  <si>
    <t>AT</t>
  </si>
  <si>
    <t>AUT</t>
  </si>
  <si>
    <t>Deactivated</t>
  </si>
  <si>
    <t>Physical SIM</t>
  </si>
  <si>
    <t>Belgium</t>
  </si>
  <si>
    <t>BE</t>
  </si>
  <si>
    <t>BEL</t>
  </si>
  <si>
    <t>Suspended</t>
  </si>
  <si>
    <t>Brazil</t>
  </si>
  <si>
    <t>BR</t>
  </si>
  <si>
    <t>BRA</t>
  </si>
  <si>
    <t>Bulgaria</t>
  </si>
  <si>
    <t>BG</t>
  </si>
  <si>
    <t>BGR</t>
  </si>
  <si>
    <t>These two lists are referenced by the dropdowns and the check formulas</t>
  </si>
  <si>
    <t>Canada</t>
  </si>
  <si>
    <t>CA</t>
  </si>
  <si>
    <t>CAN</t>
  </si>
  <si>
    <t>on the query sheet. Edit the values here, not on the query sheet.</t>
  </si>
  <si>
    <t>China</t>
  </si>
  <si>
    <t>CN</t>
  </si>
  <si>
    <t>CHN</t>
  </si>
  <si>
    <t>Croatia</t>
  </si>
  <si>
    <t>HR</t>
  </si>
  <si>
    <t>HRV</t>
  </si>
  <si>
    <t>Cyprus</t>
  </si>
  <si>
    <t>CY</t>
  </si>
  <si>
    <t>CYP</t>
  </si>
  <si>
    <t>Czechia</t>
  </si>
  <si>
    <t>CZ</t>
  </si>
  <si>
    <t>CZE</t>
  </si>
  <si>
    <t>Denmark</t>
  </si>
  <si>
    <t>DK</t>
  </si>
  <si>
    <t>DNK</t>
  </si>
  <si>
    <t>Estonia</t>
  </si>
  <si>
    <t>EE</t>
  </si>
  <si>
    <t>EST</t>
  </si>
  <si>
    <t>Finland</t>
  </si>
  <si>
    <t>FI</t>
  </si>
  <si>
    <t>FIN</t>
  </si>
  <si>
    <t>France</t>
  </si>
  <si>
    <t>FR</t>
  </si>
  <si>
    <t>FRA</t>
  </si>
  <si>
    <t>Germany</t>
  </si>
  <si>
    <t>DE</t>
  </si>
  <si>
    <t>DEU</t>
  </si>
  <si>
    <t>Greece</t>
  </si>
  <si>
    <t>GR</t>
  </si>
  <si>
    <t>GRC</t>
  </si>
  <si>
    <t>Hong Kong</t>
  </si>
  <si>
    <t>HK</t>
  </si>
  <si>
    <t>HKG</t>
  </si>
  <si>
    <t>Hungary</t>
  </si>
  <si>
    <t>HU</t>
  </si>
  <si>
    <t>HUN</t>
  </si>
  <si>
    <t>Iceland</t>
  </si>
  <si>
    <t>IS</t>
  </si>
  <si>
    <t>ISL</t>
  </si>
  <si>
    <t>India</t>
  </si>
  <si>
    <t>IN</t>
  </si>
  <si>
    <t>IND</t>
  </si>
  <si>
    <t>Ireland</t>
  </si>
  <si>
    <t>IE</t>
  </si>
  <si>
    <t>IRL</t>
  </si>
  <si>
    <t>Israel</t>
  </si>
  <si>
    <t>IL</t>
  </si>
  <si>
    <t>ISR</t>
  </si>
  <si>
    <t>Italy</t>
  </si>
  <si>
    <t>IT</t>
  </si>
  <si>
    <t>ITA</t>
  </si>
  <si>
    <t>Japan</t>
  </si>
  <si>
    <t>JP</t>
  </si>
  <si>
    <t>JPN</t>
  </si>
  <si>
    <t>Korea, Republic of</t>
  </si>
  <si>
    <t>KR</t>
  </si>
  <si>
    <t>KOR</t>
  </si>
  <si>
    <t>Latvia</t>
  </si>
  <si>
    <t>LV</t>
  </si>
  <si>
    <t>LVA</t>
  </si>
  <si>
    <t>Liechtenstein</t>
  </si>
  <si>
    <t>LI</t>
  </si>
  <si>
    <t>LIE</t>
  </si>
  <si>
    <t>Lithuania</t>
  </si>
  <si>
    <t>LT</t>
  </si>
  <si>
    <t>LTU</t>
  </si>
  <si>
    <t>Luxembourg</t>
  </si>
  <si>
    <t>LU</t>
  </si>
  <si>
    <t>LUX</t>
  </si>
  <si>
    <t>Malta</t>
  </si>
  <si>
    <t>MT</t>
  </si>
  <si>
    <t>MLT</t>
  </si>
  <si>
    <t>Mexico</t>
  </si>
  <si>
    <t>MX</t>
  </si>
  <si>
    <t>MEX</t>
  </si>
  <si>
    <t>Moldova</t>
  </si>
  <si>
    <t>MD</t>
  </si>
  <si>
    <t>MDA</t>
  </si>
  <si>
    <t>Netherlands</t>
  </si>
  <si>
    <t>NL</t>
  </si>
  <si>
    <t>NLD</t>
  </si>
  <si>
    <t>Norway</t>
  </si>
  <si>
    <t>NO</t>
  </si>
  <si>
    <t>NOR</t>
  </si>
  <si>
    <t>Poland</t>
  </si>
  <si>
    <t>PL</t>
  </si>
  <si>
    <t>POL</t>
  </si>
  <si>
    <t>Portugal</t>
  </si>
  <si>
    <t>PT</t>
  </si>
  <si>
    <t>PRT</t>
  </si>
  <si>
    <t>Romania</t>
  </si>
  <si>
    <t>RO</t>
  </si>
  <si>
    <t>ROU</t>
  </si>
  <si>
    <t>Serbia</t>
  </si>
  <si>
    <t>RS</t>
  </si>
  <si>
    <t>SRB</t>
  </si>
  <si>
    <t>Singapore</t>
  </si>
  <si>
    <t>SG</t>
  </si>
  <si>
    <t>SGP</t>
  </si>
  <si>
    <t>Slovakia</t>
  </si>
  <si>
    <t>SK</t>
  </si>
  <si>
    <t>SVK</t>
  </si>
  <si>
    <t>Slovenia</t>
  </si>
  <si>
    <t>SI</t>
  </si>
  <si>
    <t>SVN</t>
  </si>
  <si>
    <t>South Africa</t>
  </si>
  <si>
    <t>ZA</t>
  </si>
  <si>
    <t>ZAF</t>
  </si>
  <si>
    <t>Spain</t>
  </si>
  <si>
    <t>ES</t>
  </si>
  <si>
    <t>ESP</t>
  </si>
  <si>
    <t>Sweden</t>
  </si>
  <si>
    <t>SE</t>
  </si>
  <si>
    <t>SWE</t>
  </si>
  <si>
    <t>Switzerland</t>
  </si>
  <si>
    <t>CH</t>
  </si>
  <si>
    <t>CHE</t>
  </si>
  <si>
    <t>Turkey</t>
  </si>
  <si>
    <t>TR</t>
  </si>
  <si>
    <t>TUR</t>
  </si>
  <si>
    <t>Ukraine</t>
  </si>
  <si>
    <t>UA</t>
  </si>
  <si>
    <t>UKR</t>
  </si>
  <si>
    <t>United Arab Emirates</t>
  </si>
  <si>
    <t>AE</t>
  </si>
  <si>
    <t>ARE</t>
  </si>
  <si>
    <t>United Kingdom</t>
  </si>
  <si>
    <t>GB</t>
  </si>
  <si>
    <t>GBR</t>
  </si>
  <si>
    <t>United States</t>
  </si>
  <si>
    <t>US</t>
  </si>
  <si>
    <t>USA</t>
  </si>
  <si>
    <t>FirstName</t>
  </si>
  <si>
    <t>LastName</t>
  </si>
  <si>
    <t>PhoneNr</t>
  </si>
  <si>
    <t>Plan</t>
  </si>
  <si>
    <t>ICC_ID</t>
  </si>
  <si>
    <t>GD_ID</t>
  </si>
  <si>
    <t>StartDate</t>
  </si>
  <si>
    <t>SIM_Country</t>
  </si>
  <si>
    <t>Provider</t>
  </si>
  <si>
    <t>CostCenter</t>
  </si>
  <si>
    <t>UBR_Code</t>
  </si>
  <si>
    <t>Legal entity</t>
  </si>
  <si>
    <t>IsVR</t>
  </si>
  <si>
    <t>BAN</t>
  </si>
  <si>
    <t>SOC</t>
  </si>
  <si>
    <t>Status</t>
  </si>
  <si>
    <t>SIM Type</t>
  </si>
  <si>
    <t>Email</t>
  </si>
  <si>
    <t>ID</t>
  </si>
  <si>
    <t>IsPhoneValid</t>
  </si>
  <si>
    <t>IMEI</t>
  </si>
  <si>
    <t>PhoneClean</t>
  </si>
  <si>
    <t>ICC_Check</t>
  </si>
  <si>
    <t>IMEI_Check</t>
  </si>
  <si>
    <t>Date_Check</t>
  </si>
  <si>
    <t>Status_Check</t>
  </si>
  <si>
    <t>SIMType_Check</t>
  </si>
  <si>
    <t>RowErrors</t>
  </si>
  <si>
    <t>Test case (not part of the table - delete when you are done)</t>
  </si>
  <si>
    <t>Ana</t>
  </si>
  <si>
    <t>Popescu</t>
  </si>
  <si>
    <t>+40712345678</t>
  </si>
  <si>
    <t>8935201234567890125</t>
  </si>
  <si>
    <t>15-03-2026</t>
  </si>
  <si>
    <t>352099001760897</t>
  </si>
  <si>
    <t>PhoneNr: valid, + prefix</t>
  </si>
  <si>
    <t>Mihai</t>
  </si>
  <si>
    <t>Ionescu</t>
  </si>
  <si>
    <t>40712345678</t>
  </si>
  <si>
    <t>893520123456789014</t>
  </si>
  <si>
    <t>01-01-2026</t>
  </si>
  <si>
    <t>861234567890127</t>
  </si>
  <si>
    <t>PhoneNr: valid, bare digits</t>
  </si>
  <si>
    <t>Elena</t>
  </si>
  <si>
    <t>Dumitru</t>
  </si>
  <si>
    <t>0712345678</t>
  </si>
  <si>
    <t>89352012345678901236</t>
  </si>
  <si>
    <t>28-02-2026</t>
  </si>
  <si>
    <t>PhoneNr: national format, no country code</t>
  </si>
  <si>
    <t>Lukas</t>
  </si>
  <si>
    <t>Muller</t>
  </si>
  <si>
    <t>+49 151 1234 5678</t>
  </si>
  <si>
    <t>8935201234567890123451</t>
  </si>
  <si>
    <t>10-06-2025</t>
  </si>
  <si>
    <t>PhoneNr: valid, spaces stripped</t>
  </si>
  <si>
    <t>Claire</t>
  </si>
  <si>
    <t>Dubois</t>
  </si>
  <si>
    <t>0033612345678</t>
  </si>
  <si>
    <t>05-11-2025</t>
  </si>
  <si>
    <t>PhoneNr: valid, 00 prefix converted</t>
  </si>
  <si>
    <t>Sven</t>
  </si>
  <si>
    <t>Jansen</t>
  </si>
  <si>
    <t>+31-6-1234-5678</t>
  </si>
  <si>
    <t>30-04-2026</t>
  </si>
  <si>
    <t>PhoneNr: valid, dashes stripped</t>
  </si>
  <si>
    <t>Marco</t>
  </si>
  <si>
    <t>Rossi</t>
  </si>
  <si>
    <t>+39123</t>
  </si>
  <si>
    <t>PhoneNr: too short</t>
  </si>
  <si>
    <t>Sofia</t>
  </si>
  <si>
    <t>Garcia</t>
  </si>
  <si>
    <t>+34123456789012345</t>
  </si>
  <si>
    <t>PhoneNr: too long</t>
  </si>
  <si>
    <t>James</t>
  </si>
  <si>
    <t>Whitfield</t>
  </si>
  <si>
    <t>+44ABC12345</t>
  </si>
  <si>
    <t>PhoneNr: letters</t>
  </si>
  <si>
    <t>Piotr</t>
  </si>
  <si>
    <t>Kowalski</t>
  </si>
  <si>
    <t>PhoneNr: wrong country code (PL is 48)</t>
  </si>
  <si>
    <t>Nadia</t>
  </si>
  <si>
    <t>Okonkwo</t>
  </si>
  <si>
    <t>Wakanda</t>
  </si>
  <si>
    <t>WARNING: country not in tblCountries</t>
  </si>
  <si>
    <t>Tomas</t>
  </si>
  <si>
    <t>Varga</t>
  </si>
  <si>
    <t>+421912345678</t>
  </si>
  <si>
    <t>WARNING: SIM_Country empty</t>
  </si>
  <si>
    <t>Sarah</t>
  </si>
  <si>
    <t>Bennett</t>
  </si>
  <si>
    <t>+1-202-555-0143</t>
  </si>
  <si>
    <t>PhoneNr: valid, dots/dashes stripped</t>
  </si>
  <si>
    <t>Kenji</t>
  </si>
  <si>
    <t>Tanaka</t>
  </si>
  <si>
    <t>+81 90 1234 5678</t>
  </si>
  <si>
    <t>PhoneNr: valid</t>
  </si>
  <si>
    <t>Ingrid</t>
  </si>
  <si>
    <t>Larsen</t>
  </si>
  <si>
    <t>004791234567</t>
  </si>
  <si>
    <t>Petra</t>
  </si>
  <si>
    <t>Novak</t>
  </si>
  <si>
    <t>+420601234567</t>
  </si>
  <si>
    <t>8935201234567</t>
  </si>
  <si>
    <t>ICC_ID: too short (13, min 18)</t>
  </si>
  <si>
    <t>Ivan</t>
  </si>
  <si>
    <t>Petrov</t>
  </si>
  <si>
    <t>+359881234567</t>
  </si>
  <si>
    <t>89352012345678901234567</t>
  </si>
  <si>
    <t>ICC_ID: too long (23, max 22)</t>
  </si>
  <si>
    <t>Anja</t>
  </si>
  <si>
    <t>Berg</t>
  </si>
  <si>
    <t>+4791234567</t>
  </si>
  <si>
    <t>7935201234567890123</t>
  </si>
  <si>
    <t>ICC_ID: does not start with 89</t>
  </si>
  <si>
    <t>Rui</t>
  </si>
  <si>
    <t>Costa</t>
  </si>
  <si>
    <t>+351912345678</t>
  </si>
  <si>
    <t>8935-2012-3456-7890-123</t>
  </si>
  <si>
    <t>ICC_ID: contains dashes</t>
  </si>
  <si>
    <t>Katri</t>
  </si>
  <si>
    <t>Nieminen</t>
  </si>
  <si>
    <t>+358401234567</t>
  </si>
  <si>
    <t>8935201234567890120</t>
  </si>
  <si>
    <t>ICC_ID: WARNING - Luhn check digit fails</t>
  </si>
  <si>
    <t>Bea</t>
  </si>
  <si>
    <t>Toth</t>
  </si>
  <si>
    <t>+36301234567</t>
  </si>
  <si>
    <t>ICC_ID: valid at max length (22)</t>
  </si>
  <si>
    <t>Omar</t>
  </si>
  <si>
    <t>Haddad</t>
  </si>
  <si>
    <t>+971501234567</t>
  </si>
  <si>
    <t>35209900176089</t>
  </si>
  <si>
    <t>IMEI: only 14 digits</t>
  </si>
  <si>
    <t>Yara</t>
  </si>
  <si>
    <t>Levi</t>
  </si>
  <si>
    <t>+972501234567</t>
  </si>
  <si>
    <t>3520990017608A</t>
  </si>
  <si>
    <t>IMEI: contains a letter</t>
  </si>
  <si>
    <t>Nils</t>
  </si>
  <si>
    <t>Eriksson</t>
  </si>
  <si>
    <t>+46701234567</t>
  </si>
  <si>
    <t>352099001760890</t>
  </si>
  <si>
    <t>IMEI: WARNING - Luhn check digit fails</t>
  </si>
  <si>
    <t>Lena</t>
  </si>
  <si>
    <t>Fischer</t>
  </si>
  <si>
    <t>+4915112345678</t>
  </si>
  <si>
    <t>2026-03-15</t>
  </si>
  <si>
    <t>StartDate: year-month-day, wrong order</t>
  </si>
  <si>
    <t>Hugo</t>
  </si>
  <si>
    <t>Silva</t>
  </si>
  <si>
    <t>+351912345679</t>
  </si>
  <si>
    <t>31-02-2026</t>
  </si>
  <si>
    <t>StartDate: 31 February does not exist</t>
  </si>
  <si>
    <t>Aoife</t>
  </si>
  <si>
    <t>Byrne</t>
  </si>
  <si>
    <t>+353871234567</t>
  </si>
  <si>
    <t>15/03/2026</t>
  </si>
  <si>
    <t>StartDate: slashes accepted, day-month-year</t>
  </si>
  <si>
    <t>Milan</t>
  </si>
  <si>
    <t>Horvat</t>
  </si>
  <si>
    <t>+385911234567</t>
  </si>
  <si>
    <t>StartDate: a real Excel date</t>
  </si>
  <si>
    <t>Eva</t>
  </si>
  <si>
    <t>Kovac</t>
  </si>
  <si>
    <t>+386401234567</t>
  </si>
  <si>
    <t>5-3-2026</t>
  </si>
  <si>
    <t>StartDate: single-digit day/month, not dd-mm-yyyy</t>
  </si>
  <si>
    <t>Jonas</t>
  </si>
  <si>
    <t>Weber</t>
  </si>
  <si>
    <t>+4915112345679</t>
  </si>
  <si>
    <t>active</t>
  </si>
  <si>
    <t>Status: WARNING - wrong capitalisation</t>
  </si>
  <si>
    <t>Marta</t>
  </si>
  <si>
    <t>Ruiz</t>
  </si>
  <si>
    <t>+34612345678</t>
  </si>
  <si>
    <t>Cancelled</t>
  </si>
  <si>
    <t>Status: not an allowed value</t>
  </si>
  <si>
    <t>Finn</t>
  </si>
  <si>
    <t>Olsen</t>
  </si>
  <si>
    <t>+4531234567</t>
  </si>
  <si>
    <t>esim</t>
  </si>
  <si>
    <t>SIM Type: WARNING - wrong capitalisation</t>
  </si>
  <si>
    <t>Zoe</t>
  </si>
  <si>
    <t>Papadopoulos</t>
  </si>
  <si>
    <t>+306901234567</t>
  </si>
  <si>
    <t>Physical</t>
  </si>
  <si>
    <t>SIM Type: not an allowed value</t>
  </si>
  <si>
    <t>Viktor</t>
  </si>
  <si>
    <t>Sokolov</t>
  </si>
  <si>
    <t>+380501234567</t>
  </si>
  <si>
    <t>ICC_ID: stored as a NUMBER - digits already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</si>
</sst>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8" x14ac:knownFonts="1">
    <font>
      <sz val="11"/>
      <color theme="1"/>
      <name val="Calibri"/>
      <family val="2"/>
      <scheme val="minor"/>
    </font>
    <font>
      <b/>
      <sz val="15"/>
      <color rgb="FF1F3864"/>
      <name val="Arial"/>
    </font>
    <font>
      <sz val="10"/>
      <name val="Arial"/>
    </font>
    <font>
      <b/>
      <sz val="11"/>
      <color rgb="FF2E5496"/>
      <name val="Arial"/>
    </font>
    <font>
      <sz val="10"/>
      <color theme="1"/>
      <name val="Arial"/>
    </font>
    <font>
      <i/>
      <sz val="10"/>
      <color rgb="FF808080"/>
      <name val="Arial"/>
    </font>
    <font>
      <b/>
      <sz val="10"/>
      <color rgb="FFFFFFFF"/>
      <name val="Arial"/>
    </font>
    <font>
      <b/>
      <i/>
      <sz val="9"/>
      <color rgb="FF808080"/>
      <name val="Arial"/>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xf numFmtId="0" fontId="6" fillId="2" borderId="0" xfId="0" applyFont="1" applyFill="1"/>
    <xf numFmtId="0" fontId="4" fillId="0" borderId="0" xfId="0" applyFont="1"/>
    <xf numFmtId="0" fontId="5" fillId="0" borderId="0" xfId="0" applyFont="1"/>
    <xf numFmtId="0" fontId="7" fillId="0" borderId="0" xfId="0" applyFont="1"/>
    <xf numFmtId="49" fontId="4" fillId="0" borderId="0" xfId="0" applyNumberFormat="1" applyFont="1"/>
    <xf numFmtId="165" fontId="4" fillId="0" borderId="0" xfId="0" applyNumberFormat="1" applyFont="1"/>
  </cellXfs>
  <cellStyles count="1">
    <cellStyle name="Normal" xfId="0" builtinId="0"/>
  </cellStyles>
  <dxfs count="39">
    <dxf>
      <font>
        <sz val="10"/>
        <color rgb="FF006100"/>
        <name val="Arial"/>
      </font>
      <fill>
        <patternFill patternType="solid">
          <fgColor rgb="FFC6EFCE"/>
        </patternFill>
      </fill>
    </dxf>
    <dxf>
      <font>
        <sz val="10"/>
        <color rgb="FF9C5700"/>
        <name val="Arial"/>
      </font>
      <fill>
        <patternFill patternType="solid">
          <fgColor rgb="FFFFEB9C"/>
        </patternFill>
      </fill>
    </dxf>
    <dxf>
      <font>
        <b/>
        <sz val="10"/>
        <color rgb="FF9C0006"/>
        <name val="Arial"/>
      </font>
      <fill>
        <patternFill patternType="solid">
          <fgColor rgb="FFFFC7CE"/>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
      <font>
        <sz val="10"/>
        <color rgb="FF006100"/>
        <name val="Arial"/>
      </font>
      <fill>
        <patternFill patternType="solid">
          <fgColor rgb="FFC6EFCE"/>
        </patternFill>
      </fill>
    </dxf>
    <dxf>
      <font>
        <b/>
        <sz val="10"/>
        <color rgb="FF9C0006"/>
        <name val="Arial"/>
      </font>
      <fill>
        <patternFill patternType="solid">
          <fgColor rgb="FFFFC7CE"/>
        </patternFill>
      </fill>
    </dxf>
    <dxf>
      <font>
        <sz val="10"/>
        <color rgb="FF9C5700"/>
        <name val="Arial"/>
      </font>
      <fill>
        <patternFill patternType="solid">
          <f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ountries" displayName="tblCountries" ref="A1:E51">
  <autoFilter ref="A1:E51" xr:uid="{00000000-0009-0000-0100-000001000000}"/>
  <tableColumns count="5">
    <tableColumn id="1" xr3:uid="{00000000-0010-0000-0000-000001000000}" name="Name"/>
    <tableColumn id="2" xr3:uid="{00000000-0010-0000-0000-000002000000}" name="Alpha2"/>
    <tableColumn id="3" xr3:uid="{00000000-0010-0000-0000-000003000000}" name="Alpha3"/>
    <tableColumn id="4" xr3:uid="{00000000-0010-0000-0000-000004000000}" name="Num"/>
    <tableColumn id="5" xr3:uid="{00000000-0010-0000-0000-000005000000}" name="Dial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query" displayName="Table_query" ref="A1:AB35">
  <autoFilter ref="A1:AB35" xr:uid="{00000000-0009-0000-0100-000002000000}"/>
  <tableColumns count="28">
    <tableColumn id="1" xr3:uid="{00000000-0010-0000-0100-000001000000}" name="FirstName"/>
    <tableColumn id="2" xr3:uid="{00000000-0010-0000-0100-000002000000}" name="LastName"/>
    <tableColumn id="3" xr3:uid="{00000000-0010-0000-0100-000003000000}" name="PhoneNr"/>
    <tableColumn id="4" xr3:uid="{00000000-0010-0000-0100-000004000000}" name="Plan"/>
    <tableColumn id="5" xr3:uid="{00000000-0010-0000-0100-000005000000}" name="ICC_ID"/>
    <tableColumn id="6" xr3:uid="{00000000-0010-0000-0100-000006000000}" name="GD_ID"/>
    <tableColumn id="7" xr3:uid="{00000000-0010-0000-0100-000007000000}" name="StartDate"/>
    <tableColumn id="8" xr3:uid="{00000000-0010-0000-0100-000008000000}" name="SIM_Country"/>
    <tableColumn id="9" xr3:uid="{00000000-0010-0000-0100-000009000000}" name="Provider"/>
    <tableColumn id="10" xr3:uid="{00000000-0010-0000-0100-00000A000000}" name="CostCenter"/>
    <tableColumn id="11" xr3:uid="{00000000-0010-0000-0100-00000B000000}" name="UBR_Code"/>
    <tableColumn id="12" xr3:uid="{00000000-0010-0000-0100-00000C000000}" name="Legal entity"/>
    <tableColumn id="13" xr3:uid="{00000000-0010-0000-0100-00000D000000}" name="IsVR"/>
    <tableColumn id="14" xr3:uid="{00000000-0010-0000-0100-00000E000000}" name="BAN"/>
    <tableColumn id="15" xr3:uid="{00000000-0010-0000-0100-00000F000000}" name="SOC"/>
    <tableColumn id="16" xr3:uid="{00000000-0010-0000-0100-000010000000}" name="Status"/>
    <tableColumn id="17" xr3:uid="{00000000-0010-0000-0100-000011000000}" name="SIM Type"/>
    <tableColumn id="18" xr3:uid="{00000000-0010-0000-0100-000012000000}" name="Email"/>
    <tableColumn id="19" xr3:uid="{00000000-0010-0000-0100-000013000000}" name="ID"/>
    <tableColumn id="20" xr3:uid="{00000000-0010-0000-0100-000014000000}" name="IsPhoneValid"/>
    <tableColumn id="21" xr3:uid="{00000000-0010-0000-0100-000015000000}" name="IMEI"/>
    <tableColumn id="22" xr3:uid="{00000000-0010-0000-0100-000016000000}" name="PhoneClean"/>
    <tableColumn id="23" xr3:uid="{00000000-0010-0000-0100-000017000000}" name="ICC_Check"/>
    <tableColumn id="24" xr3:uid="{00000000-0010-0000-0100-000018000000}" name="IMEI_Check"/>
    <tableColumn id="25" xr3:uid="{00000000-0010-0000-0100-000019000000}" name="Date_Check"/>
    <tableColumn id="26" xr3:uid="{00000000-0010-0000-0100-00001A000000}" name="Status_Check"/>
    <tableColumn id="27" xr3:uid="{00000000-0010-0000-0100-00001B000000}" name="SIMType_Check"/>
    <tableColumn id="28" xr3:uid="{00000000-0010-0000-0100-00001C000000}" name="RowErro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62"/>
  <sheetViews>
    <sheetView showGridLines="0" workbookViewId="0"/>
  </sheetViews>
  <sheetFormatPr defaultRowHeight="14.5" x14ac:dyDescent="0.35"/>
  <cols>
    <col min="1" max="1" width="3" customWidth="1"/>
    <col min="2" max="2" width="120" customWidth="1"/>
  </cols>
  <sheetData>
    <row r="1" spans="2:2" ht="19" x14ac:dyDescent="0.35">
      <c r="B1" s="1" t="s">
        <v>0</v>
      </c>
    </row>
    <row r="2" spans="2:2" x14ac:dyDescent="0.35">
      <c r="B2" s="2"/>
    </row>
    <row r="3" spans="2:2" ht="22" customHeight="1" x14ac:dyDescent="0.35">
      <c r="B3" s="3" t="s">
        <v>1</v>
      </c>
    </row>
    <row r="4" spans="2:2" ht="42" customHeight="1" x14ac:dyDescent="0.35">
      <c r="B4" s="2" t="s">
        <v>2</v>
      </c>
    </row>
    <row r="5" spans="2:2" ht="28" customHeight="1" x14ac:dyDescent="0.35">
      <c r="B5" s="2" t="s">
        <v>3</v>
      </c>
    </row>
    <row r="6" spans="2:2" x14ac:dyDescent="0.35">
      <c r="B6" s="2"/>
    </row>
    <row r="7" spans="2:2" ht="22" customHeight="1" x14ac:dyDescent="0.35">
      <c r="B7" s="3" t="s">
        <v>4</v>
      </c>
    </row>
    <row r="8" spans="2:2" x14ac:dyDescent="0.35">
      <c r="B8" s="2" t="s">
        <v>5</v>
      </c>
    </row>
    <row r="9" spans="2:2" x14ac:dyDescent="0.35">
      <c r="B9" s="2" t="s">
        <v>6</v>
      </c>
    </row>
    <row r="10" spans="2:2" x14ac:dyDescent="0.35">
      <c r="B10" s="2" t="s">
        <v>7</v>
      </c>
    </row>
    <row r="11" spans="2:2" ht="28" customHeight="1" x14ac:dyDescent="0.35">
      <c r="B11" s="2" t="s">
        <v>8</v>
      </c>
    </row>
    <row r="12" spans="2:2" x14ac:dyDescent="0.35">
      <c r="B12" s="2"/>
    </row>
    <row r="13" spans="2:2" ht="22" customHeight="1" x14ac:dyDescent="0.35">
      <c r="B13" s="3" t="s">
        <v>9</v>
      </c>
    </row>
    <row r="14" spans="2:2" x14ac:dyDescent="0.35">
      <c r="B14" s="2" t="s">
        <v>10</v>
      </c>
    </row>
    <row r="15" spans="2:2" x14ac:dyDescent="0.35">
      <c r="B15" s="2" t="s">
        <v>11</v>
      </c>
    </row>
    <row r="16" spans="2:2" ht="28" customHeight="1" x14ac:dyDescent="0.35">
      <c r="B16" s="2" t="s">
        <v>12</v>
      </c>
    </row>
    <row r="17" spans="2:2" x14ac:dyDescent="0.35">
      <c r="B17" s="2"/>
    </row>
    <row r="18" spans="2:2" ht="22" customHeight="1" x14ac:dyDescent="0.35">
      <c r="B18" s="3" t="s">
        <v>13</v>
      </c>
    </row>
    <row r="19" spans="2:2" x14ac:dyDescent="0.35">
      <c r="B19" s="2" t="s">
        <v>14</v>
      </c>
    </row>
    <row r="20" spans="2:2" x14ac:dyDescent="0.35">
      <c r="B20" s="2" t="s">
        <v>15</v>
      </c>
    </row>
    <row r="21" spans="2:2" x14ac:dyDescent="0.35">
      <c r="B21" s="2" t="s">
        <v>16</v>
      </c>
    </row>
    <row r="22" spans="2:2" ht="42" customHeight="1" x14ac:dyDescent="0.35">
      <c r="B22" s="2" t="s">
        <v>17</v>
      </c>
    </row>
    <row r="23" spans="2:2" ht="56" customHeight="1" x14ac:dyDescent="0.35">
      <c r="B23" s="2" t="s">
        <v>18</v>
      </c>
    </row>
    <row r="24" spans="2:2" x14ac:dyDescent="0.35">
      <c r="B24" s="2"/>
    </row>
    <row r="25" spans="2:2" ht="22" customHeight="1" x14ac:dyDescent="0.35">
      <c r="B25" s="3" t="s">
        <v>19</v>
      </c>
    </row>
    <row r="26" spans="2:2" x14ac:dyDescent="0.35">
      <c r="B26" s="2" t="s">
        <v>20</v>
      </c>
    </row>
    <row r="27" spans="2:2" ht="42" customHeight="1" x14ac:dyDescent="0.35">
      <c r="B27" s="2" t="s">
        <v>21</v>
      </c>
    </row>
    <row r="28" spans="2:2" x14ac:dyDescent="0.35">
      <c r="B28" s="2"/>
    </row>
    <row r="29" spans="2:2" ht="22" customHeight="1" x14ac:dyDescent="0.35">
      <c r="B29" s="3" t="s">
        <v>22</v>
      </c>
    </row>
    <row r="30" spans="2:2" ht="28" customHeight="1" x14ac:dyDescent="0.35">
      <c r="B30" s="2" t="s">
        <v>23</v>
      </c>
    </row>
    <row r="31" spans="2:2" x14ac:dyDescent="0.35">
      <c r="B31" s="2" t="s">
        <v>24</v>
      </c>
    </row>
    <row r="32" spans="2:2" x14ac:dyDescent="0.35">
      <c r="B32" s="2" t="s">
        <v>25</v>
      </c>
    </row>
    <row r="33" spans="2:2" x14ac:dyDescent="0.35">
      <c r="B33" s="2" t="s">
        <v>26</v>
      </c>
    </row>
    <row r="34" spans="2:2" ht="28" customHeight="1" x14ac:dyDescent="0.35">
      <c r="B34" s="2" t="s">
        <v>27</v>
      </c>
    </row>
    <row r="35" spans="2:2" ht="70" customHeight="1" x14ac:dyDescent="0.35">
      <c r="B35" s="2" t="s">
        <v>28</v>
      </c>
    </row>
    <row r="36" spans="2:2" x14ac:dyDescent="0.35">
      <c r="B36" s="2"/>
    </row>
    <row r="37" spans="2:2" ht="22" customHeight="1" x14ac:dyDescent="0.35">
      <c r="B37" s="3" t="s">
        <v>29</v>
      </c>
    </row>
    <row r="38" spans="2:2" x14ac:dyDescent="0.35">
      <c r="B38" s="2" t="s">
        <v>30</v>
      </c>
    </row>
    <row r="39" spans="2:2" x14ac:dyDescent="0.35">
      <c r="B39" s="2" t="s">
        <v>31</v>
      </c>
    </row>
    <row r="40" spans="2:2" x14ac:dyDescent="0.35">
      <c r="B40" s="2" t="s">
        <v>32</v>
      </c>
    </row>
    <row r="41" spans="2:2" ht="28" customHeight="1" x14ac:dyDescent="0.35">
      <c r="B41" s="2" t="s">
        <v>33</v>
      </c>
    </row>
    <row r="42" spans="2:2" x14ac:dyDescent="0.35">
      <c r="B42" s="2"/>
    </row>
    <row r="43" spans="2:2" ht="22" customHeight="1" x14ac:dyDescent="0.35">
      <c r="B43" s="3" t="s">
        <v>34</v>
      </c>
    </row>
    <row r="44" spans="2:2" ht="42" customHeight="1" x14ac:dyDescent="0.35">
      <c r="B44" s="2" t="s">
        <v>35</v>
      </c>
    </row>
    <row r="45" spans="2:2" x14ac:dyDescent="0.35">
      <c r="B45" s="2"/>
    </row>
    <row r="46" spans="2:2" ht="22" customHeight="1" x14ac:dyDescent="0.35">
      <c r="B46" s="3" t="s">
        <v>36</v>
      </c>
    </row>
    <row r="47" spans="2:2" ht="56" customHeight="1" x14ac:dyDescent="0.35">
      <c r="B47" s="2" t="s">
        <v>37</v>
      </c>
    </row>
    <row r="48" spans="2:2" ht="28" customHeight="1" x14ac:dyDescent="0.35">
      <c r="B48" s="2" t="s">
        <v>38</v>
      </c>
    </row>
    <row r="49" spans="2:2" ht="42" customHeight="1" x14ac:dyDescent="0.35">
      <c r="B49" s="2" t="s">
        <v>39</v>
      </c>
    </row>
    <row r="50" spans="2:2" x14ac:dyDescent="0.35">
      <c r="B50" s="2"/>
    </row>
    <row r="51" spans="2:2" ht="22" customHeight="1" x14ac:dyDescent="0.35">
      <c r="B51" s="3" t="s">
        <v>40</v>
      </c>
    </row>
    <row r="52" spans="2:2" ht="42" customHeight="1" x14ac:dyDescent="0.35">
      <c r="B52" s="2" t="s">
        <v>41</v>
      </c>
    </row>
    <row r="53" spans="2:2" x14ac:dyDescent="0.35">
      <c r="B53" s="2" t="s">
        <v>42</v>
      </c>
    </row>
    <row r="54" spans="2:2" ht="28" customHeight="1" x14ac:dyDescent="0.35">
      <c r="B54" s="2" t="s">
        <v>43</v>
      </c>
    </row>
    <row r="55" spans="2:2" x14ac:dyDescent="0.35">
      <c r="B55" s="2"/>
    </row>
    <row r="56" spans="2:2" ht="22" customHeight="1" x14ac:dyDescent="0.35">
      <c r="B56" s="3" t="s">
        <v>44</v>
      </c>
    </row>
    <row r="57" spans="2:2" ht="28" customHeight="1" x14ac:dyDescent="0.35">
      <c r="B57" s="2" t="s">
        <v>45</v>
      </c>
    </row>
    <row r="58" spans="2:2" x14ac:dyDescent="0.35">
      <c r="B58" s="2" t="s">
        <v>46</v>
      </c>
    </row>
    <row r="59" spans="2:2" ht="28" customHeight="1" x14ac:dyDescent="0.35">
      <c r="B59" s="2" t="s">
        <v>47</v>
      </c>
    </row>
    <row r="60" spans="2:2" ht="28" customHeight="1" x14ac:dyDescent="0.35">
      <c r="B60" s="2" t="s">
        <v>48</v>
      </c>
    </row>
    <row r="61" spans="2:2" ht="28" customHeight="1" x14ac:dyDescent="0.35">
      <c r="B61" s="2" t="s">
        <v>49</v>
      </c>
    </row>
    <row r="62" spans="2:2" x14ac:dyDescent="0.35">
      <c r="B62" s="2"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workbookViewId="0"/>
  </sheetViews>
  <sheetFormatPr defaultRowHeight="14.5" x14ac:dyDescent="0.35"/>
  <cols>
    <col min="1" max="1" width="26" customWidth="1"/>
    <col min="2" max="3" width="9" customWidth="1"/>
    <col min="4" max="4" width="8" customWidth="1"/>
    <col min="5" max="5" width="11" customWidth="1"/>
    <col min="6" max="6" width="3" customWidth="1"/>
    <col min="7" max="8" width="20" customWidth="1"/>
  </cols>
  <sheetData>
    <row r="1" spans="1:8" x14ac:dyDescent="0.35">
      <c r="A1" s="4" t="s">
        <v>51</v>
      </c>
      <c r="B1" s="4" t="s">
        <v>52</v>
      </c>
      <c r="C1" s="4" t="s">
        <v>53</v>
      </c>
      <c r="D1" s="4" t="s">
        <v>54</v>
      </c>
      <c r="E1" s="4" t="s">
        <v>55</v>
      </c>
      <c r="F1" s="4"/>
      <c r="G1" s="5" t="s">
        <v>56</v>
      </c>
      <c r="H1" s="5" t="s">
        <v>57</v>
      </c>
    </row>
    <row r="2" spans="1:8" x14ac:dyDescent="0.35">
      <c r="A2" s="6" t="s">
        <v>58</v>
      </c>
      <c r="B2" s="6" t="s">
        <v>59</v>
      </c>
      <c r="C2" s="6" t="s">
        <v>60</v>
      </c>
      <c r="D2" s="6">
        <v>36</v>
      </c>
      <c r="E2" s="6">
        <v>61</v>
      </c>
      <c r="F2" s="6"/>
      <c r="G2" s="6" t="s">
        <v>61</v>
      </c>
      <c r="H2" s="6" t="s">
        <v>62</v>
      </c>
    </row>
    <row r="3" spans="1:8" x14ac:dyDescent="0.35">
      <c r="A3" s="6" t="s">
        <v>63</v>
      </c>
      <c r="B3" s="6" t="s">
        <v>64</v>
      </c>
      <c r="C3" s="6" t="s">
        <v>65</v>
      </c>
      <c r="D3" s="6">
        <v>40</v>
      </c>
      <c r="E3" s="6">
        <v>43</v>
      </c>
      <c r="F3" s="6"/>
      <c r="G3" s="6" t="s">
        <v>66</v>
      </c>
      <c r="H3" s="6" t="s">
        <v>67</v>
      </c>
    </row>
    <row r="4" spans="1:8" x14ac:dyDescent="0.35">
      <c r="A4" s="6" t="s">
        <v>68</v>
      </c>
      <c r="B4" s="6" t="s">
        <v>69</v>
      </c>
      <c r="C4" s="6" t="s">
        <v>70</v>
      </c>
      <c r="D4" s="6">
        <v>56</v>
      </c>
      <c r="E4" s="6">
        <v>32</v>
      </c>
      <c r="F4" s="6"/>
      <c r="G4" s="6" t="s">
        <v>71</v>
      </c>
      <c r="H4" s="6"/>
    </row>
    <row r="5" spans="1:8" x14ac:dyDescent="0.35">
      <c r="A5" s="6" t="s">
        <v>72</v>
      </c>
      <c r="B5" s="6" t="s">
        <v>73</v>
      </c>
      <c r="C5" s="6" t="s">
        <v>74</v>
      </c>
      <c r="D5" s="6">
        <v>76</v>
      </c>
      <c r="E5" s="6">
        <v>55</v>
      </c>
      <c r="F5" s="6"/>
      <c r="G5" s="6"/>
      <c r="H5" s="6"/>
    </row>
    <row r="6" spans="1:8" x14ac:dyDescent="0.35">
      <c r="A6" s="6" t="s">
        <v>75</v>
      </c>
      <c r="B6" s="6" t="s">
        <v>76</v>
      </c>
      <c r="C6" s="6" t="s">
        <v>77</v>
      </c>
      <c r="D6" s="6">
        <v>100</v>
      </c>
      <c r="E6" s="6">
        <v>359</v>
      </c>
      <c r="F6" s="6"/>
      <c r="G6" s="7" t="s">
        <v>78</v>
      </c>
      <c r="H6" s="6"/>
    </row>
    <row r="7" spans="1:8" x14ac:dyDescent="0.35">
      <c r="A7" s="6" t="s">
        <v>79</v>
      </c>
      <c r="B7" s="6" t="s">
        <v>80</v>
      </c>
      <c r="C7" s="6" t="s">
        <v>81</v>
      </c>
      <c r="D7" s="6">
        <v>124</v>
      </c>
      <c r="E7" s="6">
        <v>1</v>
      </c>
      <c r="F7" s="6"/>
      <c r="G7" s="7" t="s">
        <v>82</v>
      </c>
      <c r="H7" s="6"/>
    </row>
    <row r="8" spans="1:8" x14ac:dyDescent="0.35">
      <c r="A8" s="6" t="s">
        <v>83</v>
      </c>
      <c r="B8" s="6" t="s">
        <v>84</v>
      </c>
      <c r="C8" s="6" t="s">
        <v>85</v>
      </c>
      <c r="D8" s="6">
        <v>156</v>
      </c>
      <c r="E8" s="6">
        <v>86</v>
      </c>
      <c r="F8" s="6"/>
      <c r="G8" s="6"/>
      <c r="H8" s="6"/>
    </row>
    <row r="9" spans="1:8" x14ac:dyDescent="0.35">
      <c r="A9" s="6" t="s">
        <v>86</v>
      </c>
      <c r="B9" s="6" t="s">
        <v>87</v>
      </c>
      <c r="C9" s="6" t="s">
        <v>88</v>
      </c>
      <c r="D9" s="6">
        <v>191</v>
      </c>
      <c r="E9" s="6">
        <v>385</v>
      </c>
      <c r="F9" s="6"/>
      <c r="G9" s="6"/>
      <c r="H9" s="6"/>
    </row>
    <row r="10" spans="1:8" x14ac:dyDescent="0.35">
      <c r="A10" s="6" t="s">
        <v>89</v>
      </c>
      <c r="B10" s="6" t="s">
        <v>90</v>
      </c>
      <c r="C10" s="6" t="s">
        <v>91</v>
      </c>
      <c r="D10" s="6">
        <v>196</v>
      </c>
      <c r="E10" s="6">
        <v>357</v>
      </c>
      <c r="F10" s="6"/>
      <c r="G10" s="6"/>
      <c r="H10" s="6"/>
    </row>
    <row r="11" spans="1:8" x14ac:dyDescent="0.35">
      <c r="A11" s="6" t="s">
        <v>92</v>
      </c>
      <c r="B11" s="6" t="s">
        <v>93</v>
      </c>
      <c r="C11" s="6" t="s">
        <v>94</v>
      </c>
      <c r="D11" s="6">
        <v>203</v>
      </c>
      <c r="E11" s="6">
        <v>420</v>
      </c>
      <c r="F11" s="6"/>
      <c r="G11" s="6"/>
      <c r="H11" s="6"/>
    </row>
    <row r="12" spans="1:8" x14ac:dyDescent="0.35">
      <c r="A12" s="6" t="s">
        <v>95</v>
      </c>
      <c r="B12" s="6" t="s">
        <v>96</v>
      </c>
      <c r="C12" s="6" t="s">
        <v>97</v>
      </c>
      <c r="D12" s="6">
        <v>208</v>
      </c>
      <c r="E12" s="6">
        <v>45</v>
      </c>
      <c r="F12" s="6"/>
      <c r="G12" s="6"/>
      <c r="H12" s="6"/>
    </row>
    <row r="13" spans="1:8" x14ac:dyDescent="0.35">
      <c r="A13" s="6" t="s">
        <v>98</v>
      </c>
      <c r="B13" s="6" t="s">
        <v>99</v>
      </c>
      <c r="C13" s="6" t="s">
        <v>100</v>
      </c>
      <c r="D13" s="6">
        <v>233</v>
      </c>
      <c r="E13" s="6">
        <v>372</v>
      </c>
      <c r="F13" s="6"/>
      <c r="G13" s="6"/>
      <c r="H13" s="6"/>
    </row>
    <row r="14" spans="1:8" x14ac:dyDescent="0.35">
      <c r="A14" s="6" t="s">
        <v>101</v>
      </c>
      <c r="B14" s="6" t="s">
        <v>102</v>
      </c>
      <c r="C14" s="6" t="s">
        <v>103</v>
      </c>
      <c r="D14" s="6">
        <v>246</v>
      </c>
      <c r="E14" s="6">
        <v>358</v>
      </c>
      <c r="F14" s="6"/>
      <c r="G14" s="6"/>
      <c r="H14" s="6"/>
    </row>
    <row r="15" spans="1:8" x14ac:dyDescent="0.35">
      <c r="A15" s="6" t="s">
        <v>104</v>
      </c>
      <c r="B15" s="6" t="s">
        <v>105</v>
      </c>
      <c r="C15" s="6" t="s">
        <v>106</v>
      </c>
      <c r="D15" s="6">
        <v>250</v>
      </c>
      <c r="E15" s="6">
        <v>33</v>
      </c>
      <c r="F15" s="6"/>
      <c r="G15" s="6"/>
      <c r="H15" s="6"/>
    </row>
    <row r="16" spans="1:8" x14ac:dyDescent="0.35">
      <c r="A16" s="6" t="s">
        <v>107</v>
      </c>
      <c r="B16" s="6" t="s">
        <v>108</v>
      </c>
      <c r="C16" s="6" t="s">
        <v>109</v>
      </c>
      <c r="D16" s="6">
        <v>276</v>
      </c>
      <c r="E16" s="6">
        <v>49</v>
      </c>
      <c r="F16" s="6"/>
      <c r="G16" s="6"/>
      <c r="H16" s="6"/>
    </row>
    <row r="17" spans="1:8" x14ac:dyDescent="0.35">
      <c r="A17" s="6" t="s">
        <v>110</v>
      </c>
      <c r="B17" s="6" t="s">
        <v>111</v>
      </c>
      <c r="C17" s="6" t="s">
        <v>112</v>
      </c>
      <c r="D17" s="6">
        <v>300</v>
      </c>
      <c r="E17" s="6">
        <v>30</v>
      </c>
      <c r="F17" s="6"/>
      <c r="G17" s="6"/>
      <c r="H17" s="6"/>
    </row>
    <row r="18" spans="1:8" x14ac:dyDescent="0.35">
      <c r="A18" s="6" t="s">
        <v>113</v>
      </c>
      <c r="B18" s="6" t="s">
        <v>114</v>
      </c>
      <c r="C18" s="6" t="s">
        <v>115</v>
      </c>
      <c r="D18" s="6">
        <v>344</v>
      </c>
      <c r="E18" s="6">
        <v>852</v>
      </c>
      <c r="F18" s="6"/>
      <c r="G18" s="6"/>
      <c r="H18" s="6"/>
    </row>
    <row r="19" spans="1:8" x14ac:dyDescent="0.35">
      <c r="A19" s="6" t="s">
        <v>116</v>
      </c>
      <c r="B19" s="6" t="s">
        <v>117</v>
      </c>
      <c r="C19" s="6" t="s">
        <v>118</v>
      </c>
      <c r="D19" s="6">
        <v>348</v>
      </c>
      <c r="E19" s="6">
        <v>36</v>
      </c>
      <c r="F19" s="6"/>
      <c r="G19" s="6"/>
      <c r="H19" s="6"/>
    </row>
    <row r="20" spans="1:8" x14ac:dyDescent="0.35">
      <c r="A20" s="6" t="s">
        <v>119</v>
      </c>
      <c r="B20" s="6" t="s">
        <v>120</v>
      </c>
      <c r="C20" s="6" t="s">
        <v>121</v>
      </c>
      <c r="D20" s="6">
        <v>352</v>
      </c>
      <c r="E20" s="6">
        <v>354</v>
      </c>
      <c r="F20" s="6"/>
      <c r="G20" s="6"/>
      <c r="H20" s="6"/>
    </row>
    <row r="21" spans="1:8" x14ac:dyDescent="0.35">
      <c r="A21" s="6" t="s">
        <v>122</v>
      </c>
      <c r="B21" s="6" t="s">
        <v>123</v>
      </c>
      <c r="C21" s="6" t="s">
        <v>124</v>
      </c>
      <c r="D21" s="6">
        <v>356</v>
      </c>
      <c r="E21" s="6">
        <v>91</v>
      </c>
      <c r="F21" s="6"/>
      <c r="G21" s="6"/>
      <c r="H21" s="6"/>
    </row>
    <row r="22" spans="1:8" x14ac:dyDescent="0.35">
      <c r="A22" s="6" t="s">
        <v>125</v>
      </c>
      <c r="B22" s="6" t="s">
        <v>126</v>
      </c>
      <c r="C22" s="6" t="s">
        <v>127</v>
      </c>
      <c r="D22" s="6">
        <v>372</v>
      </c>
      <c r="E22" s="6">
        <v>353</v>
      </c>
      <c r="F22" s="6"/>
      <c r="G22" s="6"/>
      <c r="H22" s="6"/>
    </row>
    <row r="23" spans="1:8" x14ac:dyDescent="0.35">
      <c r="A23" s="6" t="s">
        <v>128</v>
      </c>
      <c r="B23" s="6" t="s">
        <v>129</v>
      </c>
      <c r="C23" s="6" t="s">
        <v>130</v>
      </c>
      <c r="D23" s="6">
        <v>376</v>
      </c>
      <c r="E23" s="6">
        <v>972</v>
      </c>
      <c r="F23" s="6"/>
      <c r="G23" s="6"/>
      <c r="H23" s="6"/>
    </row>
    <row r="24" spans="1:8" x14ac:dyDescent="0.35">
      <c r="A24" s="6" t="s">
        <v>131</v>
      </c>
      <c r="B24" s="6" t="s">
        <v>132</v>
      </c>
      <c r="C24" s="6" t="s">
        <v>133</v>
      </c>
      <c r="D24" s="6">
        <v>380</v>
      </c>
      <c r="E24" s="6">
        <v>39</v>
      </c>
      <c r="F24" s="6"/>
      <c r="G24" s="6"/>
      <c r="H24" s="6"/>
    </row>
    <row r="25" spans="1:8" x14ac:dyDescent="0.35">
      <c r="A25" s="6" t="s">
        <v>134</v>
      </c>
      <c r="B25" s="6" t="s">
        <v>135</v>
      </c>
      <c r="C25" s="6" t="s">
        <v>136</v>
      </c>
      <c r="D25" s="6">
        <v>392</v>
      </c>
      <c r="E25" s="6">
        <v>81</v>
      </c>
      <c r="F25" s="6"/>
      <c r="G25" s="6"/>
      <c r="H25" s="6"/>
    </row>
    <row r="26" spans="1:8" x14ac:dyDescent="0.35">
      <c r="A26" s="6" t="s">
        <v>137</v>
      </c>
      <c r="B26" s="6" t="s">
        <v>138</v>
      </c>
      <c r="C26" s="6" t="s">
        <v>139</v>
      </c>
      <c r="D26" s="6">
        <v>410</v>
      </c>
      <c r="E26" s="6">
        <v>82</v>
      </c>
      <c r="F26" s="6"/>
      <c r="G26" s="6"/>
      <c r="H26" s="6"/>
    </row>
    <row r="27" spans="1:8" x14ac:dyDescent="0.35">
      <c r="A27" s="6" t="s">
        <v>140</v>
      </c>
      <c r="B27" s="6" t="s">
        <v>141</v>
      </c>
      <c r="C27" s="6" t="s">
        <v>142</v>
      </c>
      <c r="D27" s="6">
        <v>428</v>
      </c>
      <c r="E27" s="6">
        <v>371</v>
      </c>
      <c r="F27" s="6"/>
      <c r="G27" s="6"/>
      <c r="H27" s="6"/>
    </row>
    <row r="28" spans="1:8" x14ac:dyDescent="0.35">
      <c r="A28" s="6" t="s">
        <v>143</v>
      </c>
      <c r="B28" s="6" t="s">
        <v>144</v>
      </c>
      <c r="C28" s="6" t="s">
        <v>145</v>
      </c>
      <c r="D28" s="6">
        <v>438</v>
      </c>
      <c r="E28" s="6">
        <v>423</v>
      </c>
      <c r="F28" s="6"/>
      <c r="G28" s="6"/>
      <c r="H28" s="6"/>
    </row>
    <row r="29" spans="1:8" x14ac:dyDescent="0.35">
      <c r="A29" s="6" t="s">
        <v>146</v>
      </c>
      <c r="B29" s="6" t="s">
        <v>147</v>
      </c>
      <c r="C29" s="6" t="s">
        <v>148</v>
      </c>
      <c r="D29" s="6">
        <v>440</v>
      </c>
      <c r="E29" s="6">
        <v>370</v>
      </c>
      <c r="F29" s="6"/>
      <c r="G29" s="6"/>
      <c r="H29" s="6"/>
    </row>
    <row r="30" spans="1:8" x14ac:dyDescent="0.35">
      <c r="A30" s="6" t="s">
        <v>149</v>
      </c>
      <c r="B30" s="6" t="s">
        <v>150</v>
      </c>
      <c r="C30" s="6" t="s">
        <v>151</v>
      </c>
      <c r="D30" s="6">
        <v>442</v>
      </c>
      <c r="E30" s="6">
        <v>352</v>
      </c>
      <c r="F30" s="6"/>
      <c r="G30" s="6"/>
      <c r="H30" s="6"/>
    </row>
    <row r="31" spans="1:8" x14ac:dyDescent="0.35">
      <c r="A31" s="6" t="s">
        <v>152</v>
      </c>
      <c r="B31" s="6" t="s">
        <v>153</v>
      </c>
      <c r="C31" s="6" t="s">
        <v>154</v>
      </c>
      <c r="D31" s="6">
        <v>470</v>
      </c>
      <c r="E31" s="6">
        <v>356</v>
      </c>
      <c r="F31" s="6"/>
      <c r="G31" s="6"/>
      <c r="H31" s="6"/>
    </row>
    <row r="32" spans="1:8" x14ac:dyDescent="0.35">
      <c r="A32" s="6" t="s">
        <v>155</v>
      </c>
      <c r="B32" s="6" t="s">
        <v>156</v>
      </c>
      <c r="C32" s="6" t="s">
        <v>157</v>
      </c>
      <c r="D32" s="6">
        <v>484</v>
      </c>
      <c r="E32" s="6">
        <v>52</v>
      </c>
      <c r="F32" s="6"/>
      <c r="G32" s="6"/>
      <c r="H32" s="6"/>
    </row>
    <row r="33" spans="1:8" x14ac:dyDescent="0.35">
      <c r="A33" s="6" t="s">
        <v>158</v>
      </c>
      <c r="B33" s="6" t="s">
        <v>159</v>
      </c>
      <c r="C33" s="6" t="s">
        <v>160</v>
      </c>
      <c r="D33" s="6">
        <v>498</v>
      </c>
      <c r="E33" s="6">
        <v>373</v>
      </c>
      <c r="F33" s="6"/>
      <c r="G33" s="6"/>
      <c r="H33" s="6"/>
    </row>
    <row r="34" spans="1:8" x14ac:dyDescent="0.35">
      <c r="A34" s="6" t="s">
        <v>161</v>
      </c>
      <c r="B34" s="6" t="s">
        <v>162</v>
      </c>
      <c r="C34" s="6" t="s">
        <v>163</v>
      </c>
      <c r="D34" s="6">
        <v>528</v>
      </c>
      <c r="E34" s="6">
        <v>31</v>
      </c>
      <c r="F34" s="6"/>
      <c r="G34" s="6"/>
      <c r="H34" s="6"/>
    </row>
    <row r="35" spans="1:8" x14ac:dyDescent="0.35">
      <c r="A35" s="6" t="s">
        <v>164</v>
      </c>
      <c r="B35" s="6" t="s">
        <v>165</v>
      </c>
      <c r="C35" s="6" t="s">
        <v>166</v>
      </c>
      <c r="D35" s="6">
        <v>578</v>
      </c>
      <c r="E35" s="6">
        <v>47</v>
      </c>
      <c r="F35" s="6"/>
      <c r="G35" s="6"/>
      <c r="H35" s="6"/>
    </row>
    <row r="36" spans="1:8" x14ac:dyDescent="0.35">
      <c r="A36" s="6" t="s">
        <v>167</v>
      </c>
      <c r="B36" s="6" t="s">
        <v>168</v>
      </c>
      <c r="C36" s="6" t="s">
        <v>169</v>
      </c>
      <c r="D36" s="6">
        <v>616</v>
      </c>
      <c r="E36" s="6">
        <v>48</v>
      </c>
      <c r="F36" s="6"/>
      <c r="G36" s="6"/>
      <c r="H36" s="6"/>
    </row>
    <row r="37" spans="1:8" x14ac:dyDescent="0.35">
      <c r="A37" s="6" t="s">
        <v>170</v>
      </c>
      <c r="B37" s="6" t="s">
        <v>171</v>
      </c>
      <c r="C37" s="6" t="s">
        <v>172</v>
      </c>
      <c r="D37" s="6">
        <v>620</v>
      </c>
      <c r="E37" s="6">
        <v>351</v>
      </c>
      <c r="F37" s="6"/>
      <c r="G37" s="6"/>
      <c r="H37" s="6"/>
    </row>
    <row r="38" spans="1:8" x14ac:dyDescent="0.35">
      <c r="A38" s="6" t="s">
        <v>173</v>
      </c>
      <c r="B38" s="6" t="s">
        <v>174</v>
      </c>
      <c r="C38" s="6" t="s">
        <v>175</v>
      </c>
      <c r="D38" s="6">
        <v>642</v>
      </c>
      <c r="E38" s="6">
        <v>40</v>
      </c>
      <c r="F38" s="6"/>
      <c r="G38" s="6"/>
      <c r="H38" s="6"/>
    </row>
    <row r="39" spans="1:8" x14ac:dyDescent="0.35">
      <c r="A39" s="6" t="s">
        <v>176</v>
      </c>
      <c r="B39" s="6" t="s">
        <v>177</v>
      </c>
      <c r="C39" s="6" t="s">
        <v>178</v>
      </c>
      <c r="D39" s="6">
        <v>688</v>
      </c>
      <c r="E39" s="6">
        <v>381</v>
      </c>
      <c r="F39" s="6"/>
      <c r="G39" s="6"/>
      <c r="H39" s="6"/>
    </row>
    <row r="40" spans="1:8" x14ac:dyDescent="0.35">
      <c r="A40" s="6" t="s">
        <v>179</v>
      </c>
      <c r="B40" s="6" t="s">
        <v>180</v>
      </c>
      <c r="C40" s="6" t="s">
        <v>181</v>
      </c>
      <c r="D40" s="6">
        <v>702</v>
      </c>
      <c r="E40" s="6">
        <v>65</v>
      </c>
      <c r="F40" s="6"/>
      <c r="G40" s="6"/>
      <c r="H40" s="6"/>
    </row>
    <row r="41" spans="1:8" x14ac:dyDescent="0.35">
      <c r="A41" s="6" t="s">
        <v>182</v>
      </c>
      <c r="B41" s="6" t="s">
        <v>183</v>
      </c>
      <c r="C41" s="6" t="s">
        <v>184</v>
      </c>
      <c r="D41" s="6">
        <v>703</v>
      </c>
      <c r="E41" s="6">
        <v>421</v>
      </c>
      <c r="F41" s="6"/>
      <c r="G41" s="6"/>
      <c r="H41" s="6"/>
    </row>
    <row r="42" spans="1:8" x14ac:dyDescent="0.35">
      <c r="A42" s="6" t="s">
        <v>185</v>
      </c>
      <c r="B42" s="6" t="s">
        <v>186</v>
      </c>
      <c r="C42" s="6" t="s">
        <v>187</v>
      </c>
      <c r="D42" s="6">
        <v>705</v>
      </c>
      <c r="E42" s="6">
        <v>386</v>
      </c>
      <c r="F42" s="6"/>
      <c r="G42" s="6"/>
      <c r="H42" s="6"/>
    </row>
    <row r="43" spans="1:8" x14ac:dyDescent="0.35">
      <c r="A43" s="6" t="s">
        <v>188</v>
      </c>
      <c r="B43" s="6" t="s">
        <v>189</v>
      </c>
      <c r="C43" s="6" t="s">
        <v>190</v>
      </c>
      <c r="D43" s="6">
        <v>710</v>
      </c>
      <c r="E43" s="6">
        <v>27</v>
      </c>
      <c r="F43" s="6"/>
      <c r="G43" s="6"/>
      <c r="H43" s="6"/>
    </row>
    <row r="44" spans="1:8" x14ac:dyDescent="0.35">
      <c r="A44" s="6" t="s">
        <v>191</v>
      </c>
      <c r="B44" s="6" t="s">
        <v>192</v>
      </c>
      <c r="C44" s="6" t="s">
        <v>193</v>
      </c>
      <c r="D44" s="6">
        <v>724</v>
      </c>
      <c r="E44" s="6">
        <v>34</v>
      </c>
      <c r="F44" s="6"/>
      <c r="G44" s="6"/>
      <c r="H44" s="6"/>
    </row>
    <row r="45" spans="1:8" x14ac:dyDescent="0.35">
      <c r="A45" s="6" t="s">
        <v>194</v>
      </c>
      <c r="B45" s="6" t="s">
        <v>195</v>
      </c>
      <c r="C45" s="6" t="s">
        <v>196</v>
      </c>
      <c r="D45" s="6">
        <v>752</v>
      </c>
      <c r="E45" s="6">
        <v>46</v>
      </c>
      <c r="F45" s="6"/>
      <c r="G45" s="6"/>
      <c r="H45" s="6"/>
    </row>
    <row r="46" spans="1:8" x14ac:dyDescent="0.35">
      <c r="A46" s="6" t="s">
        <v>197</v>
      </c>
      <c r="B46" s="6" t="s">
        <v>198</v>
      </c>
      <c r="C46" s="6" t="s">
        <v>199</v>
      </c>
      <c r="D46" s="6">
        <v>756</v>
      </c>
      <c r="E46" s="6">
        <v>41</v>
      </c>
      <c r="F46" s="6"/>
      <c r="G46" s="6"/>
      <c r="H46" s="6"/>
    </row>
    <row r="47" spans="1:8" x14ac:dyDescent="0.35">
      <c r="A47" s="6" t="s">
        <v>200</v>
      </c>
      <c r="B47" s="6" t="s">
        <v>201</v>
      </c>
      <c r="C47" s="6" t="s">
        <v>202</v>
      </c>
      <c r="D47" s="6">
        <v>792</v>
      </c>
      <c r="E47" s="6">
        <v>90</v>
      </c>
      <c r="F47" s="6"/>
      <c r="G47" s="6"/>
      <c r="H47" s="6"/>
    </row>
    <row r="48" spans="1:8" x14ac:dyDescent="0.35">
      <c r="A48" s="6" t="s">
        <v>203</v>
      </c>
      <c r="B48" s="6" t="s">
        <v>204</v>
      </c>
      <c r="C48" s="6" t="s">
        <v>205</v>
      </c>
      <c r="D48" s="6">
        <v>804</v>
      </c>
      <c r="E48" s="6">
        <v>380</v>
      </c>
      <c r="F48" s="6"/>
      <c r="G48" s="6"/>
      <c r="H48" s="6"/>
    </row>
    <row r="49" spans="1:8" x14ac:dyDescent="0.35">
      <c r="A49" s="6" t="s">
        <v>206</v>
      </c>
      <c r="B49" s="6" t="s">
        <v>207</v>
      </c>
      <c r="C49" s="6" t="s">
        <v>208</v>
      </c>
      <c r="D49" s="6">
        <v>784</v>
      </c>
      <c r="E49" s="6">
        <v>971</v>
      </c>
      <c r="F49" s="6"/>
      <c r="G49" s="6"/>
      <c r="H49" s="6"/>
    </row>
    <row r="50" spans="1:8" x14ac:dyDescent="0.35">
      <c r="A50" s="6" t="s">
        <v>209</v>
      </c>
      <c r="B50" s="6" t="s">
        <v>210</v>
      </c>
      <c r="C50" s="6" t="s">
        <v>211</v>
      </c>
      <c r="D50" s="6">
        <v>826</v>
      </c>
      <c r="E50" s="6">
        <v>44</v>
      </c>
      <c r="F50" s="6"/>
      <c r="G50" s="6"/>
      <c r="H50" s="6"/>
    </row>
    <row r="51" spans="1:8" x14ac:dyDescent="0.35">
      <c r="A51" s="6" t="s">
        <v>212</v>
      </c>
      <c r="B51" s="6" t="s">
        <v>213</v>
      </c>
      <c r="C51" s="6" t="s">
        <v>214</v>
      </c>
      <c r="D51" s="6">
        <v>840</v>
      </c>
      <c r="E51" s="6">
        <v>1</v>
      </c>
      <c r="F51" s="6"/>
      <c r="G51" s="6"/>
      <c r="H51" s="6"/>
    </row>
  </sheetData>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5"/>
  <sheetViews>
    <sheetView tabSelected="1" workbookViewId="0">
      <pane xSplit="2" ySplit="1" topLeftCell="C2" activePane="bottomRight" state="frozen"/>
      <selection pane="topRight"/>
      <selection pane="bottomLeft"/>
      <selection pane="bottomRight" activeCell="T1" sqref="T1:T1048576"/>
    </sheetView>
  </sheetViews>
  <sheetFormatPr defaultRowHeight="14.5" x14ac:dyDescent="0.35"/>
  <cols>
    <col min="1" max="1" width="12" customWidth="1"/>
    <col min="2" max="2" width="14" customWidth="1"/>
    <col min="3" max="3" width="20" customWidth="1"/>
    <col min="4" max="4" width="11" customWidth="1"/>
    <col min="5" max="5" width="25" customWidth="1"/>
    <col min="6" max="6" width="11" customWidth="1"/>
    <col min="7" max="7" width="13" customWidth="1"/>
    <col min="8" max="8" width="19" customWidth="1"/>
    <col min="9" max="15" width="11" customWidth="1"/>
    <col min="16" max="16" width="13" customWidth="1"/>
    <col min="17" max="17" width="14" customWidth="1"/>
    <col min="18" max="19" width="11" customWidth="1"/>
    <col min="20" max="20" width="52" hidden="1" customWidth="1"/>
    <col min="21" max="21" width="17" customWidth="1"/>
    <col min="22" max="22" width="15" customWidth="1"/>
    <col min="23" max="23" width="56" hidden="1" customWidth="1"/>
    <col min="24" max="27" width="52" hidden="1" customWidth="1"/>
    <col min="28" max="28" width="70" customWidth="1"/>
    <col min="30" max="30" width="52" hidden="1" customWidth="1"/>
  </cols>
  <sheetData>
    <row r="1" spans="1:30" x14ac:dyDescent="0.35">
      <c r="A1" s="4" t="s">
        <v>215</v>
      </c>
      <c r="B1" s="4" t="s">
        <v>216</v>
      </c>
      <c r="C1" s="4" t="s">
        <v>217</v>
      </c>
      <c r="D1" s="4" t="s">
        <v>218</v>
      </c>
      <c r="E1" s="4" t="s">
        <v>219</v>
      </c>
      <c r="F1" s="4" t="s">
        <v>220</v>
      </c>
      <c r="G1" s="4" t="s">
        <v>221</v>
      </c>
      <c r="H1" s="4" t="s">
        <v>222</v>
      </c>
      <c r="I1" s="4" t="s">
        <v>223</v>
      </c>
      <c r="J1" s="4" t="s">
        <v>224</v>
      </c>
      <c r="K1" s="4" t="s">
        <v>225</v>
      </c>
      <c r="L1" s="4" t="s">
        <v>226</v>
      </c>
      <c r="M1" s="4" t="s">
        <v>227</v>
      </c>
      <c r="N1" s="4" t="s">
        <v>228</v>
      </c>
      <c r="O1" s="4" t="s">
        <v>229</v>
      </c>
      <c r="P1" s="4" t="s">
        <v>230</v>
      </c>
      <c r="Q1" s="4" t="s">
        <v>231</v>
      </c>
      <c r="R1" s="4" t="s">
        <v>232</v>
      </c>
      <c r="S1" s="4" t="s">
        <v>233</v>
      </c>
      <c r="T1" s="4" t="s">
        <v>234</v>
      </c>
      <c r="U1" s="4" t="s">
        <v>235</v>
      </c>
      <c r="V1" s="4" t="s">
        <v>236</v>
      </c>
      <c r="W1" s="4" t="s">
        <v>237</v>
      </c>
      <c r="X1" s="4" t="s">
        <v>238</v>
      </c>
      <c r="Y1" s="4" t="s">
        <v>239</v>
      </c>
      <c r="Z1" s="4" t="s">
        <v>240</v>
      </c>
      <c r="AA1" s="4" t="s">
        <v>241</v>
      </c>
      <c r="AB1" s="4" t="s">
        <v>242</v>
      </c>
      <c r="AC1" s="4"/>
      <c r="AD1" s="8" t="s">
        <v>243</v>
      </c>
    </row>
    <row r="2" spans="1:30" x14ac:dyDescent="0.35">
      <c r="A2" s="6" t="s">
        <v>244</v>
      </c>
      <c r="B2" s="6" t="s">
        <v>245</v>
      </c>
      <c r="C2" s="9" t="s">
        <v>246</v>
      </c>
      <c r="D2" s="6"/>
      <c r="E2" s="9" t="s">
        <v>247</v>
      </c>
      <c r="F2" s="6"/>
      <c r="G2" s="10" t="s">
        <v>248</v>
      </c>
      <c r="H2" s="6" t="s">
        <v>173</v>
      </c>
      <c r="I2" s="6"/>
      <c r="J2" s="6"/>
      <c r="K2" s="6"/>
      <c r="L2" s="6"/>
      <c r="M2" s="6"/>
      <c r="N2" s="6"/>
      <c r="O2" s="6"/>
      <c r="P2" s="6" t="s">
        <v>61</v>
      </c>
      <c r="Q2" s="6" t="s">
        <v>62</v>
      </c>
      <c r="R2" s="6"/>
      <c r="S2" s="6"/>
      <c r="T2" s="6" t="str">
        <f ca="1">IF($C2="","",IF($V2="","No digits at all - enter a phone number",IF(NOT(SUMPRODUCT(--ISNUMBER(--MID($V2,ROW(INDIRECT("1:"&amp;LEN($V2))),1)))=LEN($V2)),"Digits only - no letters or symbols (+ ( ) - . and spaces are tolerated)",IF(LEN($V2)&lt;8,"Too short - "&amp;LEN($V2)&amp;" digits (min 8)",IF(LEN($V2)&gt;15,"Too long - "&amp;LEN($V2)&amp;" digits (max 15)",IF($H2="","WARNING: SIM_Country is empty - cannot check the country code",IF(ISNA(MATCH($H2,tblCountries[Name],0)),"WARNING: SIM_Country """&amp;$H2&amp;""" is not in tblCountries",IF(LEFT($V2,LEN(TEXT(INDEX(tblCountries[DialCode],MATCH($H2,tblCountries[Name],0)),"0")))&lt;&gt;TEXT(INDEX(tblCountries[DialCode],MATCH($H2,tblCountries[Name],0)),"0"),"Wrong country code - must start with +"&amp;TEXT(INDEX(tblCountries[DialCode],MATCH($H2,tblCountries[Name],0)),"0")&amp;" for "&amp;$H2,"OK"))))))))</f>
        <v>OK</v>
      </c>
      <c r="U2" s="9" t="s">
        <v>249</v>
      </c>
      <c r="V2" s="9" t="str">
        <f t="shared" ref="V2:V35" si="0">IF($C2="","",IF(LEFT(SUBSTITUTE(SUBSTITUTE(SUBSTITUTE(SUBSTITUTE(SUBSTITUTE(SUBSTITUTE(SUBSTITUTE(TRIM($C2&amp;""),"+","")," ",""),"-",""),"(",""),")",""),".",""),CHAR(160),""),2)="00",MID(SUBSTITUTE(SUBSTITUTE(SUBSTITUTE(SUBSTITUTE(SUBSTITUTE(SUBSTITUTE(SUBSTITUTE(TRIM($C2&amp;""),"+","")," ",""),"-",""),"(",""),")",""),".",""),CHAR(160),""),3,255),SUBSTITUTE(SUBSTITUTE(SUBSTITUTE(SUBSTITUTE(SUBSTITUTE(SUBSTITUTE(SUBSTITUTE(TRIM($C2&amp;""),"+","")," ",""),"-",""),"(",""),")",""),".",""),CHAR(160),"")))</f>
        <v>40712345678</v>
      </c>
      <c r="W2" s="6" t="str">
        <f t="shared" ref="W2:W35" ca="1" si="1">IF($E2="","",IF(ISNUMBER($E2),"Stored as a NUMBER - every digit past the 15th is already lost. Format the column as Text and re-enter.",IF(NOT(SUMPRODUCT(--ISNUMBER(--MID(TRIM($E2&amp;""),ROW(INDIRECT("1:"&amp;LEN(TRIM($E2&amp;"")))),1)))=LEN(TRIM($E2&amp;""))),"Digits only - no +, -, spaces or any other character",IF(LEFT(TRIM($E2&amp;""),2)&lt;&gt;"89","Must start with 89 (ITU-T E.118 telecom prefix)",IF(LEN(TRIM($E2&amp;""))&lt;18,"Too short - "&amp;LEN(TRIM($E2&amp;""))&amp;" digits (min 18)",IF(LEN(TRIM($E2&amp;""))&gt;22,"Too long - "&amp;LEN(TRIM($E2&amp;""))&amp;" digits (max 22)",IF(NOT(MOD(SUMPRODUCT(MID(TRIM($E2&amp;""),ROW(INDIRECT("1:"&amp;LEN(TRIM($E2&amp;"")))),1)*1*(1+MOD(LEN(TRIM($E2&amp;""))-ROW(INDIRECT("1:"&amp;LEN(TRIM($E2&amp;"")))),2))-MOD(LEN(TRIM($E2&amp;""))-ROW(INDIRECT("1:"&amp;LEN(TRIM($E2&amp;"")))),2)*9*(MID(TRIM($E2&amp;""),ROW(INDIRECT("1:"&amp;LEN(TRIM($E2&amp;"")))),1)*1*2&gt;9)),10)=0),"WARNING: Luhn check digit does not match - likely a typo or a transposition","OK")))))))</f>
        <v>OK</v>
      </c>
      <c r="X2" s="6" t="str">
        <f t="shared" ref="X2:X35" ca="1" si="2">IF($U2="","",IF(NOT(SUMPRODUCT(--ISNUMBER(--MID(TRIM($U2&amp;""),ROW(INDIRECT("1:"&amp;LEN(TRIM($U2&amp;"")))),1)))=LEN(TRIM($U2&amp;""))),"Digits only - no +, -, spaces or any other character",IF(LEN(TRIM($U2&amp;""))&lt;&gt;15,"Must be exactly 15 digits - this one has "&amp;LEN(TRIM($U2&amp;"")),IF(NOT(MOD(SUMPRODUCT(MID(TRIM($U2&amp;""),ROW(INDIRECT("1:"&amp;LEN(TRIM($U2&amp;"")))),1)*1*(1+MOD(LEN(TRIM($U2&amp;""))-ROW(INDIRECT("1:"&amp;LEN(TRIM($U2&amp;"")))),2))-MOD(LEN(TRIM($U2&amp;""))-ROW(INDIRECT("1:"&amp;LEN(TRIM($U2&amp;"")))),2)*9*(MID(TRIM($U2&amp;""),ROW(INDIRECT("1:"&amp;LEN(TRIM($U2&amp;"")))),1)*1*2&gt;9)),10)=0),"WARNING: Luhn check digit does not match - likely a typo or a transposition","OK"))))</f>
        <v>OK</v>
      </c>
      <c r="Y2" s="6" t="str">
        <f t="shared" ref="Y2:Y35" ca="1" si="3">IF($G2="","",IF(ISNUMBER($G2),IF(OR($G2&lt;DATE(2000,1,1),$G2&gt;TODAY()+730),"WARNING: real date, but outside 2000-01-01 .. today+2y - check the day/month order","OK"),IF(LEN(TRIM($G2&amp;""))&lt;&gt;10,"Must be dd-mm-yyyy - 10 characters, this one has "&amp;LEN(TRIM($G2&amp;"")),IF(AND(NOT(ISERROR(FIND(MID(TRIM($G2&amp;""),5,1),"-/."))),NOT(ISERROR(FIND(MID(TRIM($G2&amp;""),8,1),"-/."))),SUMPRODUCT(--ISNUMBER(--MID(LEFT(TRIM($G2&amp;""),4),ROW(INDIRECT("1:"&amp;LEN(LEFT(TRIM($G2&amp;""),4)))),1)))=LEN(LEFT(TRIM($G2&amp;""),4))),"Looks like yyyy-mm-dd - StartDate must put the DAY first: dd-mm-yyyy",IF(OR(MID(TRIM($G2&amp;""),3,1)&lt;&gt;MID(TRIM($G2&amp;""),6,1),ISERROR(FIND(MID(TRIM($G2&amp;""),3,1),"-/."))),"Separators must be in positions 3 and 6, matching, and be - or / or .",IF(NOT(AND(SUMPRODUCT(--ISNUMBER(--MID(LEFT(TRIM($G2&amp;""),2),ROW(INDIRECT("1:"&amp;LEN(LEFT(TRIM($G2&amp;""),2)))),1)))=LEN(LEFT(TRIM($G2&amp;""),2)),SUMPRODUCT(--ISNUMBER(--MID(MID(TRIM($G2&amp;""),4,2),ROW(INDIRECT("1:"&amp;LEN(MID(TRIM($G2&amp;""),4,2)))),1)))=LEN(MID(TRIM($G2&amp;""),4,2)),SUMPRODUCT(--ISNUMBER(--MID(RIGHT(TRIM($G2&amp;""),4),ROW(INDIRECT("1:"&amp;LEN(RIGHT(TRIM($G2&amp;""),4)))),1)))=LEN(RIGHT(TRIM($G2&amp;""),4)))),"Day, month and year must all be digits",IF(OR(LEFT(TRIM($G2&amp;""),2)*1&lt;1,LEFT(TRIM($G2&amp;""),2)*1&gt;31),"Day out of range - dd-mm-yyyy puts the DAY first",IF(OR(MID(TRIM($G2&amp;""),4,2)*1&lt;1,MID(TRIM($G2&amp;""),4,2)*1&gt;12),"Month out of range - dd-mm-yyyy puts the MONTH second",IF(OR(RIGHT(TRIM($G2&amp;""),4)*1&lt;2000,RIGHT(TRIM($G2&amp;""),4)*1&gt;2100),"Year out of range (2000-2100)",IF(DAY(DATE(RIGHT(TRIM($G2&amp;""),4)*1,MID(TRIM($G2&amp;""),4,2)*1,LEFT(TRIM($G2&amp;""),2)*1))&lt;&gt;LEFT(TRIM($G2&amp;""),2)*1,"Not a real calendar date (e.g. 31-02 or 30-02)","OK"))))))))))</f>
        <v>OK</v>
      </c>
      <c r="Z2" s="6" t="str">
        <f>IF($P2="","",IF(SUMPRODUCT(--EXACT($P2,Config!$G$2:$G$4))&gt;0,"OK",IF(NOT(ISNA(MATCH($P2,Config!$G$2:$G$4,0))),"WARNING: wrong capitalisation - should be """&amp;INDEX(Config!$G$2:$G$4,MATCH($P2,Config!$G$2:$G$4,0))&amp;""" exactly","Must be one of: Active, Deactivated, Suspended")))</f>
        <v>OK</v>
      </c>
      <c r="AA2" s="6" t="str">
        <f>IF($Q2="","",IF(SUMPRODUCT(--EXACT($Q2,Config!$H$2:$H$3))&gt;0,"OK",IF(NOT(ISNA(MATCH($Q2,Config!$H$2:$H$3,0))),"WARNING: wrong capitalisation - should be """&amp;INDEX(Config!$H$2:$H$3,MATCH($Q2,Config!$H$2:$H$3,0))&amp;""" exactly","Must be one of: eSIM, Physical SIM")))</f>
        <v>OK</v>
      </c>
      <c r="AB2" s="6" t="str">
        <f t="shared" ref="AB2:AB35" ca="1" si="4">IF(IF(OR($T2="",$T2="OK"),"","PhoneNr: "&amp;$T2&amp;"  //  ")&amp;IF(OR($W2="",$W2="OK"),"","ICC_ID: "&amp;$W2&amp;"  //  ")&amp;IF(OR($Y2="",$Y2="OK"),"","StartDate: "&amp;$Y2&amp;"  //  ")&amp;IF(OR($Z2="",$Z2="OK"),"","Status: "&amp;$Z2&amp;"  //  ")&amp;IF(OR($AA2="",$AA2="OK"),"","SIM Type: "&amp;$AA2&amp;"  //  ")&amp;IF(OR($X2="",$X2="OK"),"","IMEI: "&amp;$X2&amp;"  //  ")="","OK",LEFT(IF(OR($T2="",$T2="OK"),"","PhoneNr: "&amp;$T2&amp;"  //  ")&amp;IF(OR($W2="",$W2="OK"),"","ICC_ID: "&amp;$W2&amp;"  //  ")&amp;IF(OR($Y2="",$Y2="OK"),"","StartDate: "&amp;$Y2&amp;"  //  ")&amp;IF(OR($Z2="",$Z2="OK"),"","Status: "&amp;$Z2&amp;"  //  ")&amp;IF(OR($AA2="",$AA2="OK"),"","SIM Type: "&amp;$AA2&amp;"  //  ")&amp;IF(OR($X2="",$X2="OK"),"","IMEI: "&amp;$X2&amp;"  //  "),LEN(IF(OR($T2="",$T2="OK"),"","PhoneNr: "&amp;$T2&amp;"  //  ")&amp;IF(OR($W2="",$W2="OK"),"","ICC_ID: "&amp;$W2&amp;"  //  ")&amp;IF(OR($Y2="",$Y2="OK"),"","StartDate: "&amp;$Y2&amp;"  //  ")&amp;IF(OR($Z2="",$Z2="OK"),"","Status: "&amp;$Z2&amp;"  //  ")&amp;IF(OR($AA2="",$AA2="OK"),"","SIM Type: "&amp;$AA2&amp;"  //  ")&amp;IF(OR($X2="",$X2="OK"),"","IMEI: "&amp;$X2&amp;"  //  "))-6))</f>
        <v>OK</v>
      </c>
      <c r="AC2" s="6"/>
      <c r="AD2" s="7" t="s">
        <v>250</v>
      </c>
    </row>
    <row r="3" spans="1:30" x14ac:dyDescent="0.35">
      <c r="A3" s="6" t="s">
        <v>251</v>
      </c>
      <c r="B3" s="6" t="s">
        <v>252</v>
      </c>
      <c r="C3" s="9" t="s">
        <v>253</v>
      </c>
      <c r="D3" s="6"/>
      <c r="E3" s="9" t="s">
        <v>254</v>
      </c>
      <c r="F3" s="6"/>
      <c r="G3" s="10" t="s">
        <v>255</v>
      </c>
      <c r="H3" s="6" t="s">
        <v>173</v>
      </c>
      <c r="I3" s="6"/>
      <c r="J3" s="6"/>
      <c r="K3" s="6"/>
      <c r="L3" s="6"/>
      <c r="M3" s="6"/>
      <c r="N3" s="6"/>
      <c r="O3" s="6"/>
      <c r="P3" s="6" t="s">
        <v>66</v>
      </c>
      <c r="Q3" s="6" t="s">
        <v>67</v>
      </c>
      <c r="R3" s="6"/>
      <c r="S3" s="6"/>
      <c r="T3" s="6" t="str">
        <f ca="1">IF($C3="","",IF($V3="","No digits at all - enter a phone number",IF(NOT(SUMPRODUCT(--ISNUMBER(--MID($V3,ROW(INDIRECT("1:"&amp;LEN($V3))),1)))=LEN($V3)),"Digits only - no letters or symbols (+ ( ) - . and spaces are tolerated)",IF(LEN($V3)&lt;8,"Too short - "&amp;LEN($V3)&amp;" digits (min 8)",IF(LEN($V3)&gt;15,"Too long - "&amp;LEN($V3)&amp;" digits (max 15)",IF($H3="","WARNING: SIM_Country is empty - cannot check the country code",IF(ISNA(MATCH($H3,tblCountries[Name],0)),"WARNING: SIM_Country """&amp;$H3&amp;""" is not in tblCountries",IF(LEFT($V3,LEN(TEXT(INDEX(tblCountries[DialCode],MATCH($H3,tblCountries[Name],0)),"0")))&lt;&gt;TEXT(INDEX(tblCountries[DialCode],MATCH($H3,tblCountries[Name],0)),"0"),"Wrong country code - must start with +"&amp;TEXT(INDEX(tblCountries[DialCode],MATCH($H3,tblCountries[Name],0)),"0")&amp;" for "&amp;$H3,"OK"))))))))</f>
        <v>OK</v>
      </c>
      <c r="U3" s="9" t="s">
        <v>256</v>
      </c>
      <c r="V3" s="9" t="str">
        <f t="shared" si="0"/>
        <v>40712345678</v>
      </c>
      <c r="W3" s="6" t="str">
        <f t="shared" ca="1" si="1"/>
        <v>OK</v>
      </c>
      <c r="X3" s="6" t="str">
        <f t="shared" ca="1" si="2"/>
        <v>OK</v>
      </c>
      <c r="Y3" s="6" t="str">
        <f t="shared" ca="1" si="3"/>
        <v>OK</v>
      </c>
      <c r="Z3" s="6" t="str">
        <f>IF($P3="","",IF(SUMPRODUCT(--EXACT($P3,Config!$G$2:$G$4))&gt;0,"OK",IF(NOT(ISNA(MATCH($P3,Config!$G$2:$G$4,0))),"WARNING: wrong capitalisation - should be """&amp;INDEX(Config!$G$2:$G$4,MATCH($P3,Config!$G$2:$G$4,0))&amp;""" exactly","Must be one of: Active, Deactivated, Suspended")))</f>
        <v>OK</v>
      </c>
      <c r="AA3" s="6" t="str">
        <f>IF($Q3="","",IF(SUMPRODUCT(--EXACT($Q3,Config!$H$2:$H$3))&gt;0,"OK",IF(NOT(ISNA(MATCH($Q3,Config!$H$2:$H$3,0))),"WARNING: wrong capitalisation - should be """&amp;INDEX(Config!$H$2:$H$3,MATCH($Q3,Config!$H$2:$H$3,0))&amp;""" exactly","Must be one of: eSIM, Physical SIM")))</f>
        <v>OK</v>
      </c>
      <c r="AB3" s="6" t="str">
        <f t="shared" ca="1" si="4"/>
        <v>OK</v>
      </c>
      <c r="AC3" s="6"/>
      <c r="AD3" s="7" t="s">
        <v>257</v>
      </c>
    </row>
    <row r="4" spans="1:30" x14ac:dyDescent="0.35">
      <c r="A4" s="6" t="s">
        <v>258</v>
      </c>
      <c r="B4" s="6" t="s">
        <v>259</v>
      </c>
      <c r="C4" s="9" t="s">
        <v>260</v>
      </c>
      <c r="D4" s="6"/>
      <c r="E4" s="9" t="s">
        <v>261</v>
      </c>
      <c r="F4" s="6"/>
      <c r="G4" s="10" t="s">
        <v>262</v>
      </c>
      <c r="H4" s="6" t="s">
        <v>173</v>
      </c>
      <c r="I4" s="6"/>
      <c r="J4" s="6"/>
      <c r="K4" s="6"/>
      <c r="L4" s="6"/>
      <c r="M4" s="6"/>
      <c r="N4" s="6"/>
      <c r="O4" s="6"/>
      <c r="P4" s="6" t="s">
        <v>61</v>
      </c>
      <c r="Q4" s="6" t="s">
        <v>62</v>
      </c>
      <c r="R4" s="6"/>
      <c r="S4" s="6"/>
      <c r="T4" s="6" t="str">
        <f ca="1">IF($C4="","",IF($V4="","No digits at all - enter a phone number",IF(NOT(SUMPRODUCT(--ISNUMBER(--MID($V4,ROW(INDIRECT("1:"&amp;LEN($V4))),1)))=LEN($V4)),"Digits only - no letters or symbols (+ ( ) - . and spaces are tolerated)",IF(LEN($V4)&lt;8,"Too short - "&amp;LEN($V4)&amp;" digits (min 8)",IF(LEN($V4)&gt;15,"Too long - "&amp;LEN($V4)&amp;" digits (max 15)",IF($H4="","WARNING: SIM_Country is empty - cannot check the country code",IF(ISNA(MATCH($H4,tblCountries[Name],0)),"WARNING: SIM_Country """&amp;$H4&amp;""" is not in tblCountries",IF(LEFT($V4,LEN(TEXT(INDEX(tblCountries[DialCode],MATCH($H4,tblCountries[Name],0)),"0")))&lt;&gt;TEXT(INDEX(tblCountries[DialCode],MATCH($H4,tblCountries[Name],0)),"0"),"Wrong country code - must start with +"&amp;TEXT(INDEX(tblCountries[DialCode],MATCH($H4,tblCountries[Name],0)),"0")&amp;" for "&amp;$H4,"OK"))))))))</f>
        <v>Wrong country code - must start with +40 for Romania</v>
      </c>
      <c r="U4" s="9" t="s">
        <v>249</v>
      </c>
      <c r="V4" s="9" t="str">
        <f t="shared" si="0"/>
        <v>0712345678</v>
      </c>
      <c r="W4" s="6" t="str">
        <f t="shared" ca="1" si="1"/>
        <v>OK</v>
      </c>
      <c r="X4" s="6" t="str">
        <f t="shared" ca="1" si="2"/>
        <v>OK</v>
      </c>
      <c r="Y4" s="6" t="str">
        <f t="shared" ca="1" si="3"/>
        <v>OK</v>
      </c>
      <c r="Z4" s="6" t="str">
        <f>IF($P4="","",IF(SUMPRODUCT(--EXACT($P4,Config!$G$2:$G$4))&gt;0,"OK",IF(NOT(ISNA(MATCH($P4,Config!$G$2:$G$4,0))),"WARNING: wrong capitalisation - should be """&amp;INDEX(Config!$G$2:$G$4,MATCH($P4,Config!$G$2:$G$4,0))&amp;""" exactly","Must be one of: Active, Deactivated, Suspended")))</f>
        <v>OK</v>
      </c>
      <c r="AA4" s="6" t="str">
        <f>IF($Q4="","",IF(SUMPRODUCT(--EXACT($Q4,Config!$H$2:$H$3))&gt;0,"OK",IF(NOT(ISNA(MATCH($Q4,Config!$H$2:$H$3,0))),"WARNING: wrong capitalisation - should be """&amp;INDEX(Config!$H$2:$H$3,MATCH($Q4,Config!$H$2:$H$3,0))&amp;""" exactly","Must be one of: eSIM, Physical SIM")))</f>
        <v>OK</v>
      </c>
      <c r="AB4" s="6" t="str">
        <f t="shared" ca="1" si="4"/>
        <v>PhoneNr: Wrong country code - must start with +40 for Romania</v>
      </c>
      <c r="AC4" s="6"/>
      <c r="AD4" s="7" t="s">
        <v>263</v>
      </c>
    </row>
    <row r="5" spans="1:30" x14ac:dyDescent="0.35">
      <c r="A5" s="6" t="s">
        <v>264</v>
      </c>
      <c r="B5" s="6" t="s">
        <v>265</v>
      </c>
      <c r="C5" s="9" t="s">
        <v>266</v>
      </c>
      <c r="D5" s="6"/>
      <c r="E5" s="9" t="s">
        <v>267</v>
      </c>
      <c r="F5" s="6"/>
      <c r="G5" s="10" t="s">
        <v>268</v>
      </c>
      <c r="H5" s="6" t="s">
        <v>107</v>
      </c>
      <c r="I5" s="6"/>
      <c r="J5" s="6"/>
      <c r="K5" s="6"/>
      <c r="L5" s="6"/>
      <c r="M5" s="6"/>
      <c r="N5" s="6"/>
      <c r="O5" s="6"/>
      <c r="P5" s="6" t="s">
        <v>71</v>
      </c>
      <c r="Q5" s="6" t="s">
        <v>67</v>
      </c>
      <c r="R5" s="6"/>
      <c r="S5" s="6"/>
      <c r="T5" s="6" t="str">
        <f ca="1">IF($C5="","",IF($V5="","No digits at all - enter a phone number",IF(NOT(SUMPRODUCT(--ISNUMBER(--MID($V5,ROW(INDIRECT("1:"&amp;LEN($V5))),1)))=LEN($V5)),"Digits only - no letters or symbols (+ ( ) - . and spaces are tolerated)",IF(LEN($V5)&lt;8,"Too short - "&amp;LEN($V5)&amp;" digits (min 8)",IF(LEN($V5)&gt;15,"Too long - "&amp;LEN($V5)&amp;" digits (max 15)",IF($H5="","WARNING: SIM_Country is empty - cannot check the country code",IF(ISNA(MATCH($H5,tblCountries[Name],0)),"WARNING: SIM_Country """&amp;$H5&amp;""" is not in tblCountries",IF(LEFT($V5,LEN(TEXT(INDEX(tblCountries[DialCode],MATCH($H5,tblCountries[Name],0)),"0")))&lt;&gt;TEXT(INDEX(tblCountries[DialCode],MATCH($H5,tblCountries[Name],0)),"0"),"Wrong country code - must start with +"&amp;TEXT(INDEX(tblCountries[DialCode],MATCH($H5,tblCountries[Name],0)),"0")&amp;" for "&amp;$H5,"OK"))))))))</f>
        <v>OK</v>
      </c>
      <c r="U5" s="9" t="s">
        <v>256</v>
      </c>
      <c r="V5" s="9" t="str">
        <f t="shared" si="0"/>
        <v>4915112345678</v>
      </c>
      <c r="W5" s="6" t="str">
        <f t="shared" ca="1" si="1"/>
        <v>OK</v>
      </c>
      <c r="X5" s="6" t="str">
        <f t="shared" ca="1" si="2"/>
        <v>OK</v>
      </c>
      <c r="Y5" s="6" t="str">
        <f t="shared" ca="1" si="3"/>
        <v>OK</v>
      </c>
      <c r="Z5" s="6" t="str">
        <f>IF($P5="","",IF(SUMPRODUCT(--EXACT($P5,Config!$G$2:$G$4))&gt;0,"OK",IF(NOT(ISNA(MATCH($P5,Config!$G$2:$G$4,0))),"WARNING: wrong capitalisation - should be """&amp;INDEX(Config!$G$2:$G$4,MATCH($P5,Config!$G$2:$G$4,0))&amp;""" exactly","Must be one of: Active, Deactivated, Suspended")))</f>
        <v>OK</v>
      </c>
      <c r="AA5" s="6" t="str">
        <f>IF($Q5="","",IF(SUMPRODUCT(--EXACT($Q5,Config!$H$2:$H$3))&gt;0,"OK",IF(NOT(ISNA(MATCH($Q5,Config!$H$2:$H$3,0))),"WARNING: wrong capitalisation - should be """&amp;INDEX(Config!$H$2:$H$3,MATCH($Q5,Config!$H$2:$H$3,0))&amp;""" exactly","Must be one of: eSIM, Physical SIM")))</f>
        <v>OK</v>
      </c>
      <c r="AB5" s="6" t="str">
        <f t="shared" ca="1" si="4"/>
        <v>OK</v>
      </c>
      <c r="AC5" s="6"/>
      <c r="AD5" s="7" t="s">
        <v>269</v>
      </c>
    </row>
    <row r="6" spans="1:30" x14ac:dyDescent="0.35">
      <c r="A6" s="6" t="s">
        <v>270</v>
      </c>
      <c r="B6" s="6" t="s">
        <v>271</v>
      </c>
      <c r="C6" s="9" t="s">
        <v>272</v>
      </c>
      <c r="D6" s="6"/>
      <c r="E6" s="9" t="s">
        <v>247</v>
      </c>
      <c r="F6" s="6"/>
      <c r="G6" s="10" t="s">
        <v>273</v>
      </c>
      <c r="H6" s="6" t="s">
        <v>104</v>
      </c>
      <c r="I6" s="6"/>
      <c r="J6" s="6"/>
      <c r="K6" s="6"/>
      <c r="L6" s="6"/>
      <c r="M6" s="6"/>
      <c r="N6" s="6"/>
      <c r="O6" s="6"/>
      <c r="P6" s="6" t="s">
        <v>61</v>
      </c>
      <c r="Q6" s="6" t="s">
        <v>62</v>
      </c>
      <c r="R6" s="6"/>
      <c r="S6" s="6"/>
      <c r="T6" s="6" t="str">
        <f ca="1">IF($C6="","",IF($V6="","No digits at all - enter a phone number",IF(NOT(SUMPRODUCT(--ISNUMBER(--MID($V6,ROW(INDIRECT("1:"&amp;LEN($V6))),1)))=LEN($V6)),"Digits only - no letters or symbols (+ ( ) - . and spaces are tolerated)",IF(LEN($V6)&lt;8,"Too short - "&amp;LEN($V6)&amp;" digits (min 8)",IF(LEN($V6)&gt;15,"Too long - "&amp;LEN($V6)&amp;" digits (max 15)",IF($H6="","WARNING: SIM_Country is empty - cannot check the country code",IF(ISNA(MATCH($H6,tblCountries[Name],0)),"WARNING: SIM_Country """&amp;$H6&amp;""" is not in tblCountries",IF(LEFT($V6,LEN(TEXT(INDEX(tblCountries[DialCode],MATCH($H6,tblCountries[Name],0)),"0")))&lt;&gt;TEXT(INDEX(tblCountries[DialCode],MATCH($H6,tblCountries[Name],0)),"0"),"Wrong country code - must start with +"&amp;TEXT(INDEX(tblCountries[DialCode],MATCH($H6,tblCountries[Name],0)),"0")&amp;" for "&amp;$H6,"OK"))))))))</f>
        <v>OK</v>
      </c>
      <c r="U6" s="9" t="s">
        <v>249</v>
      </c>
      <c r="V6" s="9" t="str">
        <f t="shared" si="0"/>
        <v>33612345678</v>
      </c>
      <c r="W6" s="6" t="str">
        <f t="shared" ca="1" si="1"/>
        <v>OK</v>
      </c>
      <c r="X6" s="6" t="str">
        <f t="shared" ca="1" si="2"/>
        <v>OK</v>
      </c>
      <c r="Y6" s="6" t="str">
        <f t="shared" ca="1" si="3"/>
        <v>OK</v>
      </c>
      <c r="Z6" s="6" t="str">
        <f>IF($P6="","",IF(SUMPRODUCT(--EXACT($P6,Config!$G$2:$G$4))&gt;0,"OK",IF(NOT(ISNA(MATCH($P6,Config!$G$2:$G$4,0))),"WARNING: wrong capitalisation - should be """&amp;INDEX(Config!$G$2:$G$4,MATCH($P6,Config!$G$2:$G$4,0))&amp;""" exactly","Must be one of: Active, Deactivated, Suspended")))</f>
        <v>OK</v>
      </c>
      <c r="AA6" s="6" t="str">
        <f>IF($Q6="","",IF(SUMPRODUCT(--EXACT($Q6,Config!$H$2:$H$3))&gt;0,"OK",IF(NOT(ISNA(MATCH($Q6,Config!$H$2:$H$3,0))),"WARNING: wrong capitalisation - should be """&amp;INDEX(Config!$H$2:$H$3,MATCH($Q6,Config!$H$2:$H$3,0))&amp;""" exactly","Must be one of: eSIM, Physical SIM")))</f>
        <v>OK</v>
      </c>
      <c r="AB6" s="6" t="str">
        <f t="shared" ca="1" si="4"/>
        <v>OK</v>
      </c>
      <c r="AC6" s="6"/>
      <c r="AD6" s="7" t="s">
        <v>274</v>
      </c>
    </row>
    <row r="7" spans="1:30" x14ac:dyDescent="0.35">
      <c r="A7" s="6" t="s">
        <v>275</v>
      </c>
      <c r="B7" s="6" t="s">
        <v>276</v>
      </c>
      <c r="C7" s="9" t="s">
        <v>277</v>
      </c>
      <c r="D7" s="6"/>
      <c r="E7" s="9" t="s">
        <v>247</v>
      </c>
      <c r="F7" s="6"/>
      <c r="G7" s="10" t="s">
        <v>278</v>
      </c>
      <c r="H7" s="6" t="s">
        <v>161</v>
      </c>
      <c r="I7" s="6"/>
      <c r="J7" s="6"/>
      <c r="K7" s="6"/>
      <c r="L7" s="6"/>
      <c r="M7" s="6"/>
      <c r="N7" s="6"/>
      <c r="O7" s="6"/>
      <c r="P7" s="6" t="s">
        <v>61</v>
      </c>
      <c r="Q7" s="6" t="s">
        <v>67</v>
      </c>
      <c r="R7" s="6"/>
      <c r="S7" s="6"/>
      <c r="T7" s="6" t="str">
        <f ca="1">IF($C7="","",IF($V7="","No digits at all - enter a phone number",IF(NOT(SUMPRODUCT(--ISNUMBER(--MID($V7,ROW(INDIRECT("1:"&amp;LEN($V7))),1)))=LEN($V7)),"Digits only - no letters or symbols (+ ( ) - . and spaces are tolerated)",IF(LEN($V7)&lt;8,"Too short - "&amp;LEN($V7)&amp;" digits (min 8)",IF(LEN($V7)&gt;15,"Too long - "&amp;LEN($V7)&amp;" digits (max 15)",IF($H7="","WARNING: SIM_Country is empty - cannot check the country code",IF(ISNA(MATCH($H7,tblCountries[Name],0)),"WARNING: SIM_Country """&amp;$H7&amp;""" is not in tblCountries",IF(LEFT($V7,LEN(TEXT(INDEX(tblCountries[DialCode],MATCH($H7,tblCountries[Name],0)),"0")))&lt;&gt;TEXT(INDEX(tblCountries[DialCode],MATCH($H7,tblCountries[Name],0)),"0"),"Wrong country code - must start with +"&amp;TEXT(INDEX(tblCountries[DialCode],MATCH($H7,tblCountries[Name],0)),"0")&amp;" for "&amp;$H7,"OK"))))))))</f>
        <v>OK</v>
      </c>
      <c r="U7" s="9" t="s">
        <v>256</v>
      </c>
      <c r="V7" s="9" t="str">
        <f t="shared" si="0"/>
        <v>31612345678</v>
      </c>
      <c r="W7" s="6" t="str">
        <f t="shared" ca="1" si="1"/>
        <v>OK</v>
      </c>
      <c r="X7" s="6" t="str">
        <f t="shared" ca="1" si="2"/>
        <v>OK</v>
      </c>
      <c r="Y7" s="6" t="str">
        <f t="shared" ca="1" si="3"/>
        <v>OK</v>
      </c>
      <c r="Z7" s="6" t="str">
        <f>IF($P7="","",IF(SUMPRODUCT(--EXACT($P7,Config!$G$2:$G$4))&gt;0,"OK",IF(NOT(ISNA(MATCH($P7,Config!$G$2:$G$4,0))),"WARNING: wrong capitalisation - should be """&amp;INDEX(Config!$G$2:$G$4,MATCH($P7,Config!$G$2:$G$4,0))&amp;""" exactly","Must be one of: Active, Deactivated, Suspended")))</f>
        <v>OK</v>
      </c>
      <c r="AA7" s="6" t="str">
        <f>IF($Q7="","",IF(SUMPRODUCT(--EXACT($Q7,Config!$H$2:$H$3))&gt;0,"OK",IF(NOT(ISNA(MATCH($Q7,Config!$H$2:$H$3,0))),"WARNING: wrong capitalisation - should be """&amp;INDEX(Config!$H$2:$H$3,MATCH($Q7,Config!$H$2:$H$3,0))&amp;""" exactly","Must be one of: eSIM, Physical SIM")))</f>
        <v>OK</v>
      </c>
      <c r="AB7" s="6" t="str">
        <f t="shared" ca="1" si="4"/>
        <v>OK</v>
      </c>
      <c r="AC7" s="6"/>
      <c r="AD7" s="7" t="s">
        <v>279</v>
      </c>
    </row>
    <row r="8" spans="1:30" x14ac:dyDescent="0.35">
      <c r="A8" s="6" t="s">
        <v>280</v>
      </c>
      <c r="B8" s="6" t="s">
        <v>281</v>
      </c>
      <c r="C8" s="9" t="s">
        <v>282</v>
      </c>
      <c r="D8" s="6"/>
      <c r="E8" s="9" t="s">
        <v>247</v>
      </c>
      <c r="F8" s="6"/>
      <c r="G8" s="10" t="s">
        <v>248</v>
      </c>
      <c r="H8" s="6" t="s">
        <v>131</v>
      </c>
      <c r="I8" s="6"/>
      <c r="J8" s="6"/>
      <c r="K8" s="6"/>
      <c r="L8" s="6"/>
      <c r="M8" s="6"/>
      <c r="N8" s="6"/>
      <c r="O8" s="6"/>
      <c r="P8" s="6" t="s">
        <v>61</v>
      </c>
      <c r="Q8" s="6" t="s">
        <v>62</v>
      </c>
      <c r="R8" s="6"/>
      <c r="S8" s="6"/>
      <c r="T8" s="6" t="str">
        <f ca="1">IF($C8="","",IF($V8="","No digits at all - enter a phone number",IF(NOT(SUMPRODUCT(--ISNUMBER(--MID($V8,ROW(INDIRECT("1:"&amp;LEN($V8))),1)))=LEN($V8)),"Digits only - no letters or symbols (+ ( ) - . and spaces are tolerated)",IF(LEN($V8)&lt;8,"Too short - "&amp;LEN($V8)&amp;" digits (min 8)",IF(LEN($V8)&gt;15,"Too long - "&amp;LEN($V8)&amp;" digits (max 15)",IF($H8="","WARNING: SIM_Country is empty - cannot check the country code",IF(ISNA(MATCH($H8,tblCountries[Name],0)),"WARNING: SIM_Country """&amp;$H8&amp;""" is not in tblCountries",IF(LEFT($V8,LEN(TEXT(INDEX(tblCountries[DialCode],MATCH($H8,tblCountries[Name],0)),"0")))&lt;&gt;TEXT(INDEX(tblCountries[DialCode],MATCH($H8,tblCountries[Name],0)),"0"),"Wrong country code - must start with +"&amp;TEXT(INDEX(tblCountries[DialCode],MATCH($H8,tblCountries[Name],0)),"0")&amp;" for "&amp;$H8,"OK"))))))))</f>
        <v>Too short - 5 digits (min 8)</v>
      </c>
      <c r="U8" s="9" t="s">
        <v>249</v>
      </c>
      <c r="V8" s="9" t="str">
        <f t="shared" si="0"/>
        <v>39123</v>
      </c>
      <c r="W8" s="6" t="str">
        <f t="shared" ca="1" si="1"/>
        <v>OK</v>
      </c>
      <c r="X8" s="6" t="str">
        <f t="shared" ca="1" si="2"/>
        <v>OK</v>
      </c>
      <c r="Y8" s="6" t="str">
        <f t="shared" ca="1" si="3"/>
        <v>OK</v>
      </c>
      <c r="Z8" s="6" t="str">
        <f>IF($P8="","",IF(SUMPRODUCT(--EXACT($P8,Config!$G$2:$G$4))&gt;0,"OK",IF(NOT(ISNA(MATCH($P8,Config!$G$2:$G$4,0))),"WARNING: wrong capitalisation - should be """&amp;INDEX(Config!$G$2:$G$4,MATCH($P8,Config!$G$2:$G$4,0))&amp;""" exactly","Must be one of: Active, Deactivated, Suspended")))</f>
        <v>OK</v>
      </c>
      <c r="AA8" s="6" t="str">
        <f>IF($Q8="","",IF(SUMPRODUCT(--EXACT($Q8,Config!$H$2:$H$3))&gt;0,"OK",IF(NOT(ISNA(MATCH($Q8,Config!$H$2:$H$3,0))),"WARNING: wrong capitalisation - should be """&amp;INDEX(Config!$H$2:$H$3,MATCH($Q8,Config!$H$2:$H$3,0))&amp;""" exactly","Must be one of: eSIM, Physical SIM")))</f>
        <v>OK</v>
      </c>
      <c r="AB8" s="6" t="str">
        <f t="shared" ca="1" si="4"/>
        <v>PhoneNr: Too short - 5 digits (min 8)</v>
      </c>
      <c r="AC8" s="6"/>
      <c r="AD8" s="7" t="s">
        <v>283</v>
      </c>
    </row>
    <row r="9" spans="1:30" x14ac:dyDescent="0.35">
      <c r="A9" s="6" t="s">
        <v>284</v>
      </c>
      <c r="B9" s="6" t="s">
        <v>285</v>
      </c>
      <c r="C9" s="9" t="s">
        <v>286</v>
      </c>
      <c r="D9" s="6"/>
      <c r="E9" s="9" t="s">
        <v>247</v>
      </c>
      <c r="F9" s="6"/>
      <c r="G9" s="10" t="s">
        <v>248</v>
      </c>
      <c r="H9" s="6" t="s">
        <v>191</v>
      </c>
      <c r="I9" s="6"/>
      <c r="J9" s="6"/>
      <c r="K9" s="6"/>
      <c r="L9" s="6"/>
      <c r="M9" s="6"/>
      <c r="N9" s="6"/>
      <c r="O9" s="6"/>
      <c r="P9" s="6" t="s">
        <v>61</v>
      </c>
      <c r="Q9" s="6" t="s">
        <v>62</v>
      </c>
      <c r="R9" s="6"/>
      <c r="S9" s="6"/>
      <c r="T9" s="6" t="str">
        <f ca="1">IF($C9="","",IF($V9="","No digits at all - enter a phone number",IF(NOT(SUMPRODUCT(--ISNUMBER(--MID($V9,ROW(INDIRECT("1:"&amp;LEN($V9))),1)))=LEN($V9)),"Digits only - no letters or symbols (+ ( ) - . and spaces are tolerated)",IF(LEN($V9)&lt;8,"Too short - "&amp;LEN($V9)&amp;" digits (min 8)",IF(LEN($V9)&gt;15,"Too long - "&amp;LEN($V9)&amp;" digits (max 15)",IF($H9="","WARNING: SIM_Country is empty - cannot check the country code",IF(ISNA(MATCH($H9,tblCountries[Name],0)),"WARNING: SIM_Country """&amp;$H9&amp;""" is not in tblCountries",IF(LEFT($V9,LEN(TEXT(INDEX(tblCountries[DialCode],MATCH($H9,tblCountries[Name],0)),"0")))&lt;&gt;TEXT(INDEX(tblCountries[DialCode],MATCH($H9,tblCountries[Name],0)),"0"),"Wrong country code - must start with +"&amp;TEXT(INDEX(tblCountries[DialCode],MATCH($H9,tblCountries[Name],0)),"0")&amp;" for "&amp;$H9,"OK"))))))))</f>
        <v>Too long - 17 digits (max 15)</v>
      </c>
      <c r="U9" s="9" t="s">
        <v>249</v>
      </c>
      <c r="V9" s="9" t="str">
        <f t="shared" si="0"/>
        <v>34123456789012345</v>
      </c>
      <c r="W9" s="6" t="str">
        <f t="shared" ca="1" si="1"/>
        <v>OK</v>
      </c>
      <c r="X9" s="6" t="str">
        <f t="shared" ca="1" si="2"/>
        <v>OK</v>
      </c>
      <c r="Y9" s="6" t="str">
        <f t="shared" ca="1" si="3"/>
        <v>OK</v>
      </c>
      <c r="Z9" s="6" t="str">
        <f>IF($P9="","",IF(SUMPRODUCT(--EXACT($P9,Config!$G$2:$G$4))&gt;0,"OK",IF(NOT(ISNA(MATCH($P9,Config!$G$2:$G$4,0))),"WARNING: wrong capitalisation - should be """&amp;INDEX(Config!$G$2:$G$4,MATCH($P9,Config!$G$2:$G$4,0))&amp;""" exactly","Must be one of: Active, Deactivated, Suspended")))</f>
        <v>OK</v>
      </c>
      <c r="AA9" s="6" t="str">
        <f>IF($Q9="","",IF(SUMPRODUCT(--EXACT($Q9,Config!$H$2:$H$3))&gt;0,"OK",IF(NOT(ISNA(MATCH($Q9,Config!$H$2:$H$3,0))),"WARNING: wrong capitalisation - should be """&amp;INDEX(Config!$H$2:$H$3,MATCH($Q9,Config!$H$2:$H$3,0))&amp;""" exactly","Must be one of: eSIM, Physical SIM")))</f>
        <v>OK</v>
      </c>
      <c r="AB9" s="6" t="str">
        <f t="shared" ca="1" si="4"/>
        <v>PhoneNr: Too long - 17 digits (max 15)</v>
      </c>
      <c r="AC9" s="6"/>
      <c r="AD9" s="7" t="s">
        <v>287</v>
      </c>
    </row>
    <row r="10" spans="1:30" x14ac:dyDescent="0.35">
      <c r="A10" s="6" t="s">
        <v>288</v>
      </c>
      <c r="B10" s="6" t="s">
        <v>289</v>
      </c>
      <c r="C10" s="9" t="s">
        <v>290</v>
      </c>
      <c r="D10" s="6"/>
      <c r="E10" s="9" t="s">
        <v>247</v>
      </c>
      <c r="F10" s="6"/>
      <c r="G10" s="10" t="s">
        <v>248</v>
      </c>
      <c r="H10" s="6" t="s">
        <v>209</v>
      </c>
      <c r="I10" s="6"/>
      <c r="J10" s="6"/>
      <c r="K10" s="6"/>
      <c r="L10" s="6"/>
      <c r="M10" s="6"/>
      <c r="N10" s="6"/>
      <c r="O10" s="6"/>
      <c r="P10" s="6" t="s">
        <v>61</v>
      </c>
      <c r="Q10" s="6" t="s">
        <v>62</v>
      </c>
      <c r="R10" s="6"/>
      <c r="S10" s="6"/>
      <c r="T10" s="6" t="str">
        <f ca="1">IF($C10="","",IF($V10="","No digits at all - enter a phone number",IF(NOT(SUMPRODUCT(--ISNUMBER(--MID($V10,ROW(INDIRECT("1:"&amp;LEN($V10))),1)))=LEN($V10)),"Digits only - no letters or symbols (+ ( ) - . and spaces are tolerated)",IF(LEN($V10)&lt;8,"Too short - "&amp;LEN($V10)&amp;" digits (min 8)",IF(LEN($V10)&gt;15,"Too long - "&amp;LEN($V10)&amp;" digits (max 15)",IF($H10="","WARNING: SIM_Country is empty - cannot check the country code",IF(ISNA(MATCH($H10,tblCountries[Name],0)),"WARNING: SIM_Country """&amp;$H10&amp;""" is not in tblCountries",IF(LEFT($V10,LEN(TEXT(INDEX(tblCountries[DialCode],MATCH($H10,tblCountries[Name],0)),"0")))&lt;&gt;TEXT(INDEX(tblCountries[DialCode],MATCH($H10,tblCountries[Name],0)),"0"),"Wrong country code - must start with +"&amp;TEXT(INDEX(tblCountries[DialCode],MATCH($H10,tblCountries[Name],0)),"0")&amp;" for "&amp;$H10,"OK"))))))))</f>
        <v>Digits only - no letters or symbols (+ ( ) - . and spaces are tolerated)</v>
      </c>
      <c r="U10" s="9" t="s">
        <v>249</v>
      </c>
      <c r="V10" s="9" t="str">
        <f t="shared" si="0"/>
        <v>44ABC12345</v>
      </c>
      <c r="W10" s="6" t="str">
        <f t="shared" ca="1" si="1"/>
        <v>OK</v>
      </c>
      <c r="X10" s="6" t="str">
        <f t="shared" ca="1" si="2"/>
        <v>OK</v>
      </c>
      <c r="Y10" s="6" t="str">
        <f t="shared" ca="1" si="3"/>
        <v>OK</v>
      </c>
      <c r="Z10" s="6" t="str">
        <f>IF($P10="","",IF(SUMPRODUCT(--EXACT($P10,Config!$G$2:$G$4))&gt;0,"OK",IF(NOT(ISNA(MATCH($P10,Config!$G$2:$G$4,0))),"WARNING: wrong capitalisation - should be """&amp;INDEX(Config!$G$2:$G$4,MATCH($P10,Config!$G$2:$G$4,0))&amp;""" exactly","Must be one of: Active, Deactivated, Suspended")))</f>
        <v>OK</v>
      </c>
      <c r="AA10" s="6" t="str">
        <f>IF($Q10="","",IF(SUMPRODUCT(--EXACT($Q10,Config!$H$2:$H$3))&gt;0,"OK",IF(NOT(ISNA(MATCH($Q10,Config!$H$2:$H$3,0))),"WARNING: wrong capitalisation - should be """&amp;INDEX(Config!$H$2:$H$3,MATCH($Q10,Config!$H$2:$H$3,0))&amp;""" exactly","Must be one of: eSIM, Physical SIM")))</f>
        <v>OK</v>
      </c>
      <c r="AB10" s="6" t="str">
        <f t="shared" ca="1" si="4"/>
        <v>PhoneNr: Digits only - no letters or symbols (+ ( ) - . and spaces are tolerated)</v>
      </c>
      <c r="AC10" s="6"/>
      <c r="AD10" s="7" t="s">
        <v>291</v>
      </c>
    </row>
    <row r="11" spans="1:30" x14ac:dyDescent="0.35">
      <c r="A11" s="6" t="s">
        <v>292</v>
      </c>
      <c r="B11" s="6" t="s">
        <v>293</v>
      </c>
      <c r="C11" s="9" t="s">
        <v>246</v>
      </c>
      <c r="D11" s="6"/>
      <c r="E11" s="9" t="s">
        <v>247</v>
      </c>
      <c r="F11" s="6"/>
      <c r="G11" s="10" t="s">
        <v>248</v>
      </c>
      <c r="H11" s="6" t="s">
        <v>167</v>
      </c>
      <c r="I11" s="6"/>
      <c r="J11" s="6"/>
      <c r="K11" s="6"/>
      <c r="L11" s="6"/>
      <c r="M11" s="6"/>
      <c r="N11" s="6"/>
      <c r="O11" s="6"/>
      <c r="P11" s="6" t="s">
        <v>61</v>
      </c>
      <c r="Q11" s="6" t="s">
        <v>62</v>
      </c>
      <c r="R11" s="6"/>
      <c r="S11" s="6"/>
      <c r="T11" s="6" t="str">
        <f ca="1">IF($C11="","",IF($V11="","No digits at all - enter a phone number",IF(NOT(SUMPRODUCT(--ISNUMBER(--MID($V11,ROW(INDIRECT("1:"&amp;LEN($V11))),1)))=LEN($V11)),"Digits only - no letters or symbols (+ ( ) - . and spaces are tolerated)",IF(LEN($V11)&lt;8,"Too short - "&amp;LEN($V11)&amp;" digits (min 8)",IF(LEN($V11)&gt;15,"Too long - "&amp;LEN($V11)&amp;" digits (max 15)",IF($H11="","WARNING: SIM_Country is empty - cannot check the country code",IF(ISNA(MATCH($H11,tblCountries[Name],0)),"WARNING: SIM_Country """&amp;$H11&amp;""" is not in tblCountries",IF(LEFT($V11,LEN(TEXT(INDEX(tblCountries[DialCode],MATCH($H11,tblCountries[Name],0)),"0")))&lt;&gt;TEXT(INDEX(tblCountries[DialCode],MATCH($H11,tblCountries[Name],0)),"0"),"Wrong country code - must start with +"&amp;TEXT(INDEX(tblCountries[DialCode],MATCH($H11,tblCountries[Name],0)),"0")&amp;" for "&amp;$H11,"OK"))))))))</f>
        <v>Wrong country code - must start with +48 for Poland</v>
      </c>
      <c r="U11" s="9" t="s">
        <v>249</v>
      </c>
      <c r="V11" s="9" t="str">
        <f t="shared" si="0"/>
        <v>40712345678</v>
      </c>
      <c r="W11" s="6" t="str">
        <f t="shared" ca="1" si="1"/>
        <v>OK</v>
      </c>
      <c r="X11" s="6" t="str">
        <f t="shared" ca="1" si="2"/>
        <v>OK</v>
      </c>
      <c r="Y11" s="6" t="str">
        <f t="shared" ca="1" si="3"/>
        <v>OK</v>
      </c>
      <c r="Z11" s="6" t="str">
        <f>IF($P11="","",IF(SUMPRODUCT(--EXACT($P11,Config!$G$2:$G$4))&gt;0,"OK",IF(NOT(ISNA(MATCH($P11,Config!$G$2:$G$4,0))),"WARNING: wrong capitalisation - should be """&amp;INDEX(Config!$G$2:$G$4,MATCH($P11,Config!$G$2:$G$4,0))&amp;""" exactly","Must be one of: Active, Deactivated, Suspended")))</f>
        <v>OK</v>
      </c>
      <c r="AA11" s="6" t="str">
        <f>IF($Q11="","",IF(SUMPRODUCT(--EXACT($Q11,Config!$H$2:$H$3))&gt;0,"OK",IF(NOT(ISNA(MATCH($Q11,Config!$H$2:$H$3,0))),"WARNING: wrong capitalisation - should be """&amp;INDEX(Config!$H$2:$H$3,MATCH($Q11,Config!$H$2:$H$3,0))&amp;""" exactly","Must be one of: eSIM, Physical SIM")))</f>
        <v>OK</v>
      </c>
      <c r="AB11" s="6" t="str">
        <f t="shared" ca="1" si="4"/>
        <v>PhoneNr: Wrong country code - must start with +48 for Poland</v>
      </c>
      <c r="AC11" s="6"/>
      <c r="AD11" s="7" t="s">
        <v>294</v>
      </c>
    </row>
    <row r="12" spans="1:30" x14ac:dyDescent="0.35">
      <c r="A12" s="6" t="s">
        <v>295</v>
      </c>
      <c r="B12" s="6" t="s">
        <v>296</v>
      </c>
      <c r="C12" s="9" t="s">
        <v>246</v>
      </c>
      <c r="D12" s="6"/>
      <c r="E12" s="9" t="s">
        <v>247</v>
      </c>
      <c r="F12" s="6"/>
      <c r="G12" s="10" t="s">
        <v>248</v>
      </c>
      <c r="H12" s="6" t="s">
        <v>297</v>
      </c>
      <c r="I12" s="6"/>
      <c r="J12" s="6"/>
      <c r="K12" s="6"/>
      <c r="L12" s="6"/>
      <c r="M12" s="6"/>
      <c r="N12" s="6"/>
      <c r="O12" s="6"/>
      <c r="P12" s="6" t="s">
        <v>61</v>
      </c>
      <c r="Q12" s="6" t="s">
        <v>62</v>
      </c>
      <c r="R12" s="6"/>
      <c r="S12" s="6"/>
      <c r="T12" s="6" t="str">
        <f ca="1">IF($C12="","",IF($V12="","No digits at all - enter a phone number",IF(NOT(SUMPRODUCT(--ISNUMBER(--MID($V12,ROW(INDIRECT("1:"&amp;LEN($V12))),1)))=LEN($V12)),"Digits only - no letters or symbols (+ ( ) - . and spaces are tolerated)",IF(LEN($V12)&lt;8,"Too short - "&amp;LEN($V12)&amp;" digits (min 8)",IF(LEN($V12)&gt;15,"Too long - "&amp;LEN($V12)&amp;" digits (max 15)",IF($H12="","WARNING: SIM_Country is empty - cannot check the country code",IF(ISNA(MATCH($H12,tblCountries[Name],0)),"WARNING: SIM_Country """&amp;$H12&amp;""" is not in tblCountries",IF(LEFT($V12,LEN(TEXT(INDEX(tblCountries[DialCode],MATCH($H12,tblCountries[Name],0)),"0")))&lt;&gt;TEXT(INDEX(tblCountries[DialCode],MATCH($H12,tblCountries[Name],0)),"0"),"Wrong country code - must start with +"&amp;TEXT(INDEX(tblCountries[DialCode],MATCH($H12,tblCountries[Name],0)),"0")&amp;" for "&amp;$H12,"OK"))))))))</f>
        <v>WARNING: SIM_Country "Wakanda" is not in tblCountries</v>
      </c>
      <c r="U12" s="9" t="s">
        <v>249</v>
      </c>
      <c r="V12" s="9" t="str">
        <f t="shared" si="0"/>
        <v>40712345678</v>
      </c>
      <c r="W12" s="6" t="str">
        <f t="shared" ca="1" si="1"/>
        <v>OK</v>
      </c>
      <c r="X12" s="6" t="str">
        <f t="shared" ca="1" si="2"/>
        <v>OK</v>
      </c>
      <c r="Y12" s="6" t="str">
        <f t="shared" ca="1" si="3"/>
        <v>OK</v>
      </c>
      <c r="Z12" s="6" t="str">
        <f>IF($P12="","",IF(SUMPRODUCT(--EXACT($P12,Config!$G$2:$G$4))&gt;0,"OK",IF(NOT(ISNA(MATCH($P12,Config!$G$2:$G$4,0))),"WARNING: wrong capitalisation - should be """&amp;INDEX(Config!$G$2:$G$4,MATCH($P12,Config!$G$2:$G$4,0))&amp;""" exactly","Must be one of: Active, Deactivated, Suspended")))</f>
        <v>OK</v>
      </c>
      <c r="AA12" s="6" t="str">
        <f>IF($Q12="","",IF(SUMPRODUCT(--EXACT($Q12,Config!$H$2:$H$3))&gt;0,"OK",IF(NOT(ISNA(MATCH($Q12,Config!$H$2:$H$3,0))),"WARNING: wrong capitalisation - should be """&amp;INDEX(Config!$H$2:$H$3,MATCH($Q12,Config!$H$2:$H$3,0))&amp;""" exactly","Must be one of: eSIM, Physical SIM")))</f>
        <v>OK</v>
      </c>
      <c r="AB12" s="6" t="str">
        <f t="shared" ca="1" si="4"/>
        <v>PhoneNr: WARNING: SIM_Country "Wakanda" is not in tblCountries</v>
      </c>
      <c r="AC12" s="6"/>
      <c r="AD12" s="7" t="s">
        <v>298</v>
      </c>
    </row>
    <row r="13" spans="1:30" x14ac:dyDescent="0.35">
      <c r="A13" s="6" t="s">
        <v>299</v>
      </c>
      <c r="B13" s="6" t="s">
        <v>300</v>
      </c>
      <c r="C13" s="9" t="s">
        <v>301</v>
      </c>
      <c r="D13" s="6"/>
      <c r="E13" s="9" t="s">
        <v>247</v>
      </c>
      <c r="F13" s="6"/>
      <c r="G13" s="10" t="s">
        <v>248</v>
      </c>
      <c r="H13" s="6"/>
      <c r="I13" s="6"/>
      <c r="J13" s="6"/>
      <c r="K13" s="6"/>
      <c r="L13" s="6"/>
      <c r="M13" s="6"/>
      <c r="N13" s="6"/>
      <c r="O13" s="6"/>
      <c r="P13" s="6" t="s">
        <v>61</v>
      </c>
      <c r="Q13" s="6" t="s">
        <v>62</v>
      </c>
      <c r="R13" s="6"/>
      <c r="S13" s="6"/>
      <c r="T13" s="6" t="str">
        <f ca="1">IF($C13="","",IF($V13="","No digits at all - enter a phone number",IF(NOT(SUMPRODUCT(--ISNUMBER(--MID($V13,ROW(INDIRECT("1:"&amp;LEN($V13))),1)))=LEN($V13)),"Digits only - no letters or symbols (+ ( ) - . and spaces are tolerated)",IF(LEN($V13)&lt;8,"Too short - "&amp;LEN($V13)&amp;" digits (min 8)",IF(LEN($V13)&gt;15,"Too long - "&amp;LEN($V13)&amp;" digits (max 15)",IF($H13="","WARNING: SIM_Country is empty - cannot check the country code",IF(ISNA(MATCH($H13,tblCountries[Name],0)),"WARNING: SIM_Country """&amp;$H13&amp;""" is not in tblCountries",IF(LEFT($V13,LEN(TEXT(INDEX(tblCountries[DialCode],MATCH($H13,tblCountries[Name],0)),"0")))&lt;&gt;TEXT(INDEX(tblCountries[DialCode],MATCH($H13,tblCountries[Name],0)),"0"),"Wrong country code - must start with +"&amp;TEXT(INDEX(tblCountries[DialCode],MATCH($H13,tblCountries[Name],0)),"0")&amp;" for "&amp;$H13,"OK"))))))))</f>
        <v>WARNING: SIM_Country is empty - cannot check the country code</v>
      </c>
      <c r="U13" s="9" t="s">
        <v>249</v>
      </c>
      <c r="V13" s="9" t="str">
        <f t="shared" si="0"/>
        <v>421912345678</v>
      </c>
      <c r="W13" s="6" t="str">
        <f t="shared" ca="1" si="1"/>
        <v>OK</v>
      </c>
      <c r="X13" s="6" t="str">
        <f t="shared" ca="1" si="2"/>
        <v>OK</v>
      </c>
      <c r="Y13" s="6" t="str">
        <f t="shared" ca="1" si="3"/>
        <v>OK</v>
      </c>
      <c r="Z13" s="6" t="str">
        <f>IF($P13="","",IF(SUMPRODUCT(--EXACT($P13,Config!$G$2:$G$4))&gt;0,"OK",IF(NOT(ISNA(MATCH($P13,Config!$G$2:$G$4,0))),"WARNING: wrong capitalisation - should be """&amp;INDEX(Config!$G$2:$G$4,MATCH($P13,Config!$G$2:$G$4,0))&amp;""" exactly","Must be one of: Active, Deactivated, Suspended")))</f>
        <v>OK</v>
      </c>
      <c r="AA13" s="6" t="str">
        <f>IF($Q13="","",IF(SUMPRODUCT(--EXACT($Q13,Config!$H$2:$H$3))&gt;0,"OK",IF(NOT(ISNA(MATCH($Q13,Config!$H$2:$H$3,0))),"WARNING: wrong capitalisation - should be """&amp;INDEX(Config!$H$2:$H$3,MATCH($Q13,Config!$H$2:$H$3,0))&amp;""" exactly","Must be one of: eSIM, Physical SIM")))</f>
        <v>OK</v>
      </c>
      <c r="AB13" s="6" t="str">
        <f t="shared" ca="1" si="4"/>
        <v>PhoneNr: WARNING: SIM_Country is empty - cannot check the country code</v>
      </c>
      <c r="AC13" s="6"/>
      <c r="AD13" s="7" t="s">
        <v>302</v>
      </c>
    </row>
    <row r="14" spans="1:30" x14ac:dyDescent="0.35">
      <c r="A14" s="6" t="s">
        <v>303</v>
      </c>
      <c r="B14" s="6" t="s">
        <v>304</v>
      </c>
      <c r="C14" s="9" t="s">
        <v>305</v>
      </c>
      <c r="D14" s="6"/>
      <c r="E14" s="9" t="s">
        <v>247</v>
      </c>
      <c r="F14" s="6"/>
      <c r="G14" s="10" t="s">
        <v>248</v>
      </c>
      <c r="H14" s="6" t="s">
        <v>212</v>
      </c>
      <c r="I14" s="6"/>
      <c r="J14" s="6"/>
      <c r="K14" s="6"/>
      <c r="L14" s="6"/>
      <c r="M14" s="6"/>
      <c r="N14" s="6"/>
      <c r="O14" s="6"/>
      <c r="P14" s="6" t="s">
        <v>61</v>
      </c>
      <c r="Q14" s="6" t="s">
        <v>62</v>
      </c>
      <c r="R14" s="6"/>
      <c r="S14" s="6"/>
      <c r="T14" s="6" t="str">
        <f ca="1">IF($C14="","",IF($V14="","No digits at all - enter a phone number",IF(NOT(SUMPRODUCT(--ISNUMBER(--MID($V14,ROW(INDIRECT("1:"&amp;LEN($V14))),1)))=LEN($V14)),"Digits only - no letters or symbols (+ ( ) - . and spaces are tolerated)",IF(LEN($V14)&lt;8,"Too short - "&amp;LEN($V14)&amp;" digits (min 8)",IF(LEN($V14)&gt;15,"Too long - "&amp;LEN($V14)&amp;" digits (max 15)",IF($H14="","WARNING: SIM_Country is empty - cannot check the country code",IF(ISNA(MATCH($H14,tblCountries[Name],0)),"WARNING: SIM_Country """&amp;$H14&amp;""" is not in tblCountries",IF(LEFT($V14,LEN(TEXT(INDEX(tblCountries[DialCode],MATCH($H14,tblCountries[Name],0)),"0")))&lt;&gt;TEXT(INDEX(tblCountries[DialCode],MATCH($H14,tblCountries[Name],0)),"0"),"Wrong country code - must start with +"&amp;TEXT(INDEX(tblCountries[DialCode],MATCH($H14,tblCountries[Name],0)),"0")&amp;" for "&amp;$H14,"OK"))))))))</f>
        <v>OK</v>
      </c>
      <c r="U14" s="9" t="s">
        <v>249</v>
      </c>
      <c r="V14" s="9" t="str">
        <f t="shared" si="0"/>
        <v>12025550143</v>
      </c>
      <c r="W14" s="6" t="str">
        <f t="shared" ca="1" si="1"/>
        <v>OK</v>
      </c>
      <c r="X14" s="6" t="str">
        <f t="shared" ca="1" si="2"/>
        <v>OK</v>
      </c>
      <c r="Y14" s="6" t="str">
        <f t="shared" ca="1" si="3"/>
        <v>OK</v>
      </c>
      <c r="Z14" s="6" t="str">
        <f>IF($P14="","",IF(SUMPRODUCT(--EXACT($P14,Config!$G$2:$G$4))&gt;0,"OK",IF(NOT(ISNA(MATCH($P14,Config!$G$2:$G$4,0))),"WARNING: wrong capitalisation - should be """&amp;INDEX(Config!$G$2:$G$4,MATCH($P14,Config!$G$2:$G$4,0))&amp;""" exactly","Must be one of: Active, Deactivated, Suspended")))</f>
        <v>OK</v>
      </c>
      <c r="AA14" s="6" t="str">
        <f>IF($Q14="","",IF(SUMPRODUCT(--EXACT($Q14,Config!$H$2:$H$3))&gt;0,"OK",IF(NOT(ISNA(MATCH($Q14,Config!$H$2:$H$3,0))),"WARNING: wrong capitalisation - should be """&amp;INDEX(Config!$H$2:$H$3,MATCH($Q14,Config!$H$2:$H$3,0))&amp;""" exactly","Must be one of: eSIM, Physical SIM")))</f>
        <v>OK</v>
      </c>
      <c r="AB14" s="6" t="str">
        <f t="shared" ca="1" si="4"/>
        <v>OK</v>
      </c>
      <c r="AC14" s="6"/>
      <c r="AD14" s="7" t="s">
        <v>306</v>
      </c>
    </row>
    <row r="15" spans="1:30" x14ac:dyDescent="0.35">
      <c r="A15" s="6" t="s">
        <v>307</v>
      </c>
      <c r="B15" s="6" t="s">
        <v>308</v>
      </c>
      <c r="C15" s="9" t="s">
        <v>309</v>
      </c>
      <c r="D15" s="6"/>
      <c r="E15" s="9" t="s">
        <v>247</v>
      </c>
      <c r="F15" s="6"/>
      <c r="G15" s="10" t="s">
        <v>248</v>
      </c>
      <c r="H15" s="6" t="s">
        <v>134</v>
      </c>
      <c r="I15" s="6"/>
      <c r="J15" s="6"/>
      <c r="K15" s="6"/>
      <c r="L15" s="6"/>
      <c r="M15" s="6"/>
      <c r="N15" s="6"/>
      <c r="O15" s="6"/>
      <c r="P15" s="6" t="s">
        <v>61</v>
      </c>
      <c r="Q15" s="6" t="s">
        <v>62</v>
      </c>
      <c r="R15" s="6"/>
      <c r="S15" s="6"/>
      <c r="T15" s="6" t="str">
        <f ca="1">IF($C15="","",IF($V15="","No digits at all - enter a phone number",IF(NOT(SUMPRODUCT(--ISNUMBER(--MID($V15,ROW(INDIRECT("1:"&amp;LEN($V15))),1)))=LEN($V15)),"Digits only - no letters or symbols (+ ( ) - . and spaces are tolerated)",IF(LEN($V15)&lt;8,"Too short - "&amp;LEN($V15)&amp;" digits (min 8)",IF(LEN($V15)&gt;15,"Too long - "&amp;LEN($V15)&amp;" digits (max 15)",IF($H15="","WARNING: SIM_Country is empty - cannot check the country code",IF(ISNA(MATCH($H15,tblCountries[Name],0)),"WARNING: SIM_Country """&amp;$H15&amp;""" is not in tblCountries",IF(LEFT($V15,LEN(TEXT(INDEX(tblCountries[DialCode],MATCH($H15,tblCountries[Name],0)),"0")))&lt;&gt;TEXT(INDEX(tblCountries[DialCode],MATCH($H15,tblCountries[Name],0)),"0"),"Wrong country code - must start with +"&amp;TEXT(INDEX(tblCountries[DialCode],MATCH($H15,tblCountries[Name],0)),"0")&amp;" for "&amp;$H15,"OK"))))))))</f>
        <v>OK</v>
      </c>
      <c r="U15" s="9" t="s">
        <v>249</v>
      </c>
      <c r="V15" s="9" t="str">
        <f t="shared" si="0"/>
        <v>819012345678</v>
      </c>
      <c r="W15" s="6" t="str">
        <f t="shared" ca="1" si="1"/>
        <v>OK</v>
      </c>
      <c r="X15" s="6" t="str">
        <f t="shared" ca="1" si="2"/>
        <v>OK</v>
      </c>
      <c r="Y15" s="6" t="str">
        <f t="shared" ca="1" si="3"/>
        <v>OK</v>
      </c>
      <c r="Z15" s="6" t="str">
        <f>IF($P15="","",IF(SUMPRODUCT(--EXACT($P15,Config!$G$2:$G$4))&gt;0,"OK",IF(NOT(ISNA(MATCH($P15,Config!$G$2:$G$4,0))),"WARNING: wrong capitalisation - should be """&amp;INDEX(Config!$G$2:$G$4,MATCH($P15,Config!$G$2:$G$4,0))&amp;""" exactly","Must be one of: Active, Deactivated, Suspended")))</f>
        <v>OK</v>
      </c>
      <c r="AA15" s="6" t="str">
        <f>IF($Q15="","",IF(SUMPRODUCT(--EXACT($Q15,Config!$H$2:$H$3))&gt;0,"OK",IF(NOT(ISNA(MATCH($Q15,Config!$H$2:$H$3,0))),"WARNING: wrong capitalisation - should be """&amp;INDEX(Config!$H$2:$H$3,MATCH($Q15,Config!$H$2:$H$3,0))&amp;""" exactly","Must be one of: eSIM, Physical SIM")))</f>
        <v>OK</v>
      </c>
      <c r="AB15" s="6" t="str">
        <f t="shared" ca="1" si="4"/>
        <v>OK</v>
      </c>
      <c r="AC15" s="6"/>
      <c r="AD15" s="7" t="s">
        <v>310</v>
      </c>
    </row>
    <row r="16" spans="1:30" x14ac:dyDescent="0.35">
      <c r="A16" s="6" t="s">
        <v>311</v>
      </c>
      <c r="B16" s="6" t="s">
        <v>312</v>
      </c>
      <c r="C16" s="9" t="s">
        <v>313</v>
      </c>
      <c r="D16" s="6"/>
      <c r="E16" s="9" t="s">
        <v>247</v>
      </c>
      <c r="F16" s="6"/>
      <c r="G16" s="10" t="s">
        <v>248</v>
      </c>
      <c r="H16" s="6" t="s">
        <v>164</v>
      </c>
      <c r="I16" s="6"/>
      <c r="J16" s="6"/>
      <c r="K16" s="6"/>
      <c r="L16" s="6"/>
      <c r="M16" s="6"/>
      <c r="N16" s="6"/>
      <c r="O16" s="6"/>
      <c r="P16" s="6" t="s">
        <v>61</v>
      </c>
      <c r="Q16" s="6" t="s">
        <v>62</v>
      </c>
      <c r="R16" s="6"/>
      <c r="S16" s="6"/>
      <c r="T16" s="6" t="str">
        <f ca="1">IF($C16="","",IF($V16="","No digits at all - enter a phone number",IF(NOT(SUMPRODUCT(--ISNUMBER(--MID($V16,ROW(INDIRECT("1:"&amp;LEN($V16))),1)))=LEN($V16)),"Digits only - no letters or symbols (+ ( ) - . and spaces are tolerated)",IF(LEN($V16)&lt;8,"Too short - "&amp;LEN($V16)&amp;" digits (min 8)",IF(LEN($V16)&gt;15,"Too long - "&amp;LEN($V16)&amp;" digits (max 15)",IF($H16="","WARNING: SIM_Country is empty - cannot check the country code",IF(ISNA(MATCH($H16,tblCountries[Name],0)),"WARNING: SIM_Country """&amp;$H16&amp;""" is not in tblCountries",IF(LEFT($V16,LEN(TEXT(INDEX(tblCountries[DialCode],MATCH($H16,tblCountries[Name],0)),"0")))&lt;&gt;TEXT(INDEX(tblCountries[DialCode],MATCH($H16,tblCountries[Name],0)),"0"),"Wrong country code - must start with +"&amp;TEXT(INDEX(tblCountries[DialCode],MATCH($H16,tblCountries[Name],0)),"0")&amp;" for "&amp;$H16,"OK"))))))))</f>
        <v>OK</v>
      </c>
      <c r="U16" s="9" t="s">
        <v>249</v>
      </c>
      <c r="V16" s="9" t="str">
        <f t="shared" si="0"/>
        <v>4791234567</v>
      </c>
      <c r="W16" s="6" t="str">
        <f t="shared" ca="1" si="1"/>
        <v>OK</v>
      </c>
      <c r="X16" s="6" t="str">
        <f t="shared" ca="1" si="2"/>
        <v>OK</v>
      </c>
      <c r="Y16" s="6" t="str">
        <f t="shared" ca="1" si="3"/>
        <v>OK</v>
      </c>
      <c r="Z16" s="6" t="str">
        <f>IF($P16="","",IF(SUMPRODUCT(--EXACT($P16,Config!$G$2:$G$4))&gt;0,"OK",IF(NOT(ISNA(MATCH($P16,Config!$G$2:$G$4,0))),"WARNING: wrong capitalisation - should be """&amp;INDEX(Config!$G$2:$G$4,MATCH($P16,Config!$G$2:$G$4,0))&amp;""" exactly","Must be one of: Active, Deactivated, Suspended")))</f>
        <v>OK</v>
      </c>
      <c r="AA16" s="6" t="str">
        <f>IF($Q16="","",IF(SUMPRODUCT(--EXACT($Q16,Config!$H$2:$H$3))&gt;0,"OK",IF(NOT(ISNA(MATCH($Q16,Config!$H$2:$H$3,0))),"WARNING: wrong capitalisation - should be """&amp;INDEX(Config!$H$2:$H$3,MATCH($Q16,Config!$H$2:$H$3,0))&amp;""" exactly","Must be one of: eSIM, Physical SIM")))</f>
        <v>OK</v>
      </c>
      <c r="AB16" s="6" t="str">
        <f t="shared" ca="1" si="4"/>
        <v>OK</v>
      </c>
      <c r="AC16" s="6"/>
      <c r="AD16" s="7" t="s">
        <v>274</v>
      </c>
    </row>
    <row r="17" spans="1:30" x14ac:dyDescent="0.35">
      <c r="A17" s="6" t="s">
        <v>314</v>
      </c>
      <c r="B17" s="6" t="s">
        <v>315</v>
      </c>
      <c r="C17" s="9" t="s">
        <v>316</v>
      </c>
      <c r="D17" s="6"/>
      <c r="E17" s="9" t="s">
        <v>317</v>
      </c>
      <c r="F17" s="6"/>
      <c r="G17" s="10" t="s">
        <v>248</v>
      </c>
      <c r="H17" s="6" t="s">
        <v>92</v>
      </c>
      <c r="I17" s="6"/>
      <c r="J17" s="6"/>
      <c r="K17" s="6"/>
      <c r="L17" s="6"/>
      <c r="M17" s="6"/>
      <c r="N17" s="6"/>
      <c r="O17" s="6"/>
      <c r="P17" s="6" t="s">
        <v>61</v>
      </c>
      <c r="Q17" s="6" t="s">
        <v>62</v>
      </c>
      <c r="R17" s="6"/>
      <c r="S17" s="6"/>
      <c r="T17" s="6" t="str">
        <f ca="1">IF($C17="","",IF($V17="","No digits at all - enter a phone number",IF(NOT(SUMPRODUCT(--ISNUMBER(--MID($V17,ROW(INDIRECT("1:"&amp;LEN($V17))),1)))=LEN($V17)),"Digits only - no letters or symbols (+ ( ) - . and spaces are tolerated)",IF(LEN($V17)&lt;8,"Too short - "&amp;LEN($V17)&amp;" digits (min 8)",IF(LEN($V17)&gt;15,"Too long - "&amp;LEN($V17)&amp;" digits (max 15)",IF($H17="","WARNING: SIM_Country is empty - cannot check the country code",IF(ISNA(MATCH($H17,tblCountries[Name],0)),"WARNING: SIM_Country """&amp;$H17&amp;""" is not in tblCountries",IF(LEFT($V17,LEN(TEXT(INDEX(tblCountries[DialCode],MATCH($H17,tblCountries[Name],0)),"0")))&lt;&gt;TEXT(INDEX(tblCountries[DialCode],MATCH($H17,tblCountries[Name],0)),"0"),"Wrong country code - must start with +"&amp;TEXT(INDEX(tblCountries[DialCode],MATCH($H17,tblCountries[Name],0)),"0")&amp;" for "&amp;$H17,"OK"))))))))</f>
        <v>OK</v>
      </c>
      <c r="U17" s="9" t="s">
        <v>249</v>
      </c>
      <c r="V17" s="9" t="str">
        <f t="shared" si="0"/>
        <v>420601234567</v>
      </c>
      <c r="W17" s="6" t="str">
        <f t="shared" ca="1" si="1"/>
        <v>Too short - 13 digits (min 18)</v>
      </c>
      <c r="X17" s="6" t="str">
        <f t="shared" ca="1" si="2"/>
        <v>OK</v>
      </c>
      <c r="Y17" s="6" t="str">
        <f t="shared" ca="1" si="3"/>
        <v>OK</v>
      </c>
      <c r="Z17" s="6" t="str">
        <f>IF($P17="","",IF(SUMPRODUCT(--EXACT($P17,Config!$G$2:$G$4))&gt;0,"OK",IF(NOT(ISNA(MATCH($P17,Config!$G$2:$G$4,0))),"WARNING: wrong capitalisation - should be """&amp;INDEX(Config!$G$2:$G$4,MATCH($P17,Config!$G$2:$G$4,0))&amp;""" exactly","Must be one of: Active, Deactivated, Suspended")))</f>
        <v>OK</v>
      </c>
      <c r="AA17" s="6" t="str">
        <f>IF($Q17="","",IF(SUMPRODUCT(--EXACT($Q17,Config!$H$2:$H$3))&gt;0,"OK",IF(NOT(ISNA(MATCH($Q17,Config!$H$2:$H$3,0))),"WARNING: wrong capitalisation - should be """&amp;INDEX(Config!$H$2:$H$3,MATCH($Q17,Config!$H$2:$H$3,0))&amp;""" exactly","Must be one of: eSIM, Physical SIM")))</f>
        <v>OK</v>
      </c>
      <c r="AB17" s="6" t="str">
        <f t="shared" ca="1" si="4"/>
        <v>ICC_ID: Too short - 13 digits (min 18)</v>
      </c>
      <c r="AC17" s="6"/>
      <c r="AD17" s="7" t="s">
        <v>318</v>
      </c>
    </row>
    <row r="18" spans="1:30" x14ac:dyDescent="0.35">
      <c r="A18" s="6" t="s">
        <v>319</v>
      </c>
      <c r="B18" s="6" t="s">
        <v>320</v>
      </c>
      <c r="C18" s="9" t="s">
        <v>321</v>
      </c>
      <c r="D18" s="6"/>
      <c r="E18" s="9" t="s">
        <v>322</v>
      </c>
      <c r="F18" s="6"/>
      <c r="G18" s="10" t="s">
        <v>248</v>
      </c>
      <c r="H18" s="6" t="s">
        <v>75</v>
      </c>
      <c r="I18" s="6"/>
      <c r="J18" s="6"/>
      <c r="K18" s="6"/>
      <c r="L18" s="6"/>
      <c r="M18" s="6"/>
      <c r="N18" s="6"/>
      <c r="O18" s="6"/>
      <c r="P18" s="6" t="s">
        <v>61</v>
      </c>
      <c r="Q18" s="6" t="s">
        <v>62</v>
      </c>
      <c r="R18" s="6"/>
      <c r="S18" s="6"/>
      <c r="T18" s="6" t="str">
        <f ca="1">IF($C18="","",IF($V18="","No digits at all - enter a phone number",IF(NOT(SUMPRODUCT(--ISNUMBER(--MID($V18,ROW(INDIRECT("1:"&amp;LEN($V18))),1)))=LEN($V18)),"Digits only - no letters or symbols (+ ( ) - . and spaces are tolerated)",IF(LEN($V18)&lt;8,"Too short - "&amp;LEN($V18)&amp;" digits (min 8)",IF(LEN($V18)&gt;15,"Too long - "&amp;LEN($V18)&amp;" digits (max 15)",IF($H18="","WARNING: SIM_Country is empty - cannot check the country code",IF(ISNA(MATCH($H18,tblCountries[Name],0)),"WARNING: SIM_Country """&amp;$H18&amp;""" is not in tblCountries",IF(LEFT($V18,LEN(TEXT(INDEX(tblCountries[DialCode],MATCH($H18,tblCountries[Name],0)),"0")))&lt;&gt;TEXT(INDEX(tblCountries[DialCode],MATCH($H18,tblCountries[Name],0)),"0"),"Wrong country code - must start with +"&amp;TEXT(INDEX(tblCountries[DialCode],MATCH($H18,tblCountries[Name],0)),"0")&amp;" for "&amp;$H18,"OK"))))))))</f>
        <v>OK</v>
      </c>
      <c r="U18" s="9" t="s">
        <v>249</v>
      </c>
      <c r="V18" s="9" t="str">
        <f t="shared" si="0"/>
        <v>359881234567</v>
      </c>
      <c r="W18" s="6" t="str">
        <f t="shared" ca="1" si="1"/>
        <v>Too long - 23 digits (max 22)</v>
      </c>
      <c r="X18" s="6" t="str">
        <f t="shared" ca="1" si="2"/>
        <v>OK</v>
      </c>
      <c r="Y18" s="6" t="str">
        <f t="shared" ca="1" si="3"/>
        <v>OK</v>
      </c>
      <c r="Z18" s="6" t="str">
        <f>IF($P18="","",IF(SUMPRODUCT(--EXACT($P18,Config!$G$2:$G$4))&gt;0,"OK",IF(NOT(ISNA(MATCH($P18,Config!$G$2:$G$4,0))),"WARNING: wrong capitalisation - should be """&amp;INDEX(Config!$G$2:$G$4,MATCH($P18,Config!$G$2:$G$4,0))&amp;""" exactly","Must be one of: Active, Deactivated, Suspended")))</f>
        <v>OK</v>
      </c>
      <c r="AA18" s="6" t="str">
        <f>IF($Q18="","",IF(SUMPRODUCT(--EXACT($Q18,Config!$H$2:$H$3))&gt;0,"OK",IF(NOT(ISNA(MATCH($Q18,Config!$H$2:$H$3,0))),"WARNING: wrong capitalisation - should be """&amp;INDEX(Config!$H$2:$H$3,MATCH($Q18,Config!$H$2:$H$3,0))&amp;""" exactly","Must be one of: eSIM, Physical SIM")))</f>
        <v>OK</v>
      </c>
      <c r="AB18" s="6" t="str">
        <f t="shared" ca="1" si="4"/>
        <v>ICC_ID: Too long - 23 digits (max 22)</v>
      </c>
      <c r="AC18" s="6"/>
      <c r="AD18" s="7" t="s">
        <v>323</v>
      </c>
    </row>
    <row r="19" spans="1:30" x14ac:dyDescent="0.35">
      <c r="A19" s="6" t="s">
        <v>324</v>
      </c>
      <c r="B19" s="6" t="s">
        <v>325</v>
      </c>
      <c r="C19" s="9" t="s">
        <v>326</v>
      </c>
      <c r="D19" s="6"/>
      <c r="E19" s="9" t="s">
        <v>327</v>
      </c>
      <c r="F19" s="6"/>
      <c r="G19" s="10" t="s">
        <v>248</v>
      </c>
      <c r="H19" s="6" t="s">
        <v>164</v>
      </c>
      <c r="I19" s="6"/>
      <c r="J19" s="6"/>
      <c r="K19" s="6"/>
      <c r="L19" s="6"/>
      <c r="M19" s="6"/>
      <c r="N19" s="6"/>
      <c r="O19" s="6"/>
      <c r="P19" s="6" t="s">
        <v>61</v>
      </c>
      <c r="Q19" s="6" t="s">
        <v>62</v>
      </c>
      <c r="R19" s="6"/>
      <c r="S19" s="6"/>
      <c r="T19" s="6" t="str">
        <f ca="1">IF($C19="","",IF($V19="","No digits at all - enter a phone number",IF(NOT(SUMPRODUCT(--ISNUMBER(--MID($V19,ROW(INDIRECT("1:"&amp;LEN($V19))),1)))=LEN($V19)),"Digits only - no letters or symbols (+ ( ) - . and spaces are tolerated)",IF(LEN($V19)&lt;8,"Too short - "&amp;LEN($V19)&amp;" digits (min 8)",IF(LEN($V19)&gt;15,"Too long - "&amp;LEN($V19)&amp;" digits (max 15)",IF($H19="","WARNING: SIM_Country is empty - cannot check the country code",IF(ISNA(MATCH($H19,tblCountries[Name],0)),"WARNING: SIM_Country """&amp;$H19&amp;""" is not in tblCountries",IF(LEFT($V19,LEN(TEXT(INDEX(tblCountries[DialCode],MATCH($H19,tblCountries[Name],0)),"0")))&lt;&gt;TEXT(INDEX(tblCountries[DialCode],MATCH($H19,tblCountries[Name],0)),"0"),"Wrong country code - must start with +"&amp;TEXT(INDEX(tblCountries[DialCode],MATCH($H19,tblCountries[Name],0)),"0")&amp;" for "&amp;$H19,"OK"))))))))</f>
        <v>OK</v>
      </c>
      <c r="U19" s="9" t="s">
        <v>249</v>
      </c>
      <c r="V19" s="9" t="str">
        <f t="shared" si="0"/>
        <v>4791234567</v>
      </c>
      <c r="W19" s="6" t="str">
        <f t="shared" ca="1" si="1"/>
        <v>Must start with 89 (ITU-T E.118 telecom prefix)</v>
      </c>
      <c r="X19" s="6" t="str">
        <f t="shared" ca="1" si="2"/>
        <v>OK</v>
      </c>
      <c r="Y19" s="6" t="str">
        <f t="shared" ca="1" si="3"/>
        <v>OK</v>
      </c>
      <c r="Z19" s="6" t="str">
        <f>IF($P19="","",IF(SUMPRODUCT(--EXACT($P19,Config!$G$2:$G$4))&gt;0,"OK",IF(NOT(ISNA(MATCH($P19,Config!$G$2:$G$4,0))),"WARNING: wrong capitalisation - should be """&amp;INDEX(Config!$G$2:$G$4,MATCH($P19,Config!$G$2:$G$4,0))&amp;""" exactly","Must be one of: Active, Deactivated, Suspended")))</f>
        <v>OK</v>
      </c>
      <c r="AA19" s="6" t="str">
        <f>IF($Q19="","",IF(SUMPRODUCT(--EXACT($Q19,Config!$H$2:$H$3))&gt;0,"OK",IF(NOT(ISNA(MATCH($Q19,Config!$H$2:$H$3,0))),"WARNING: wrong capitalisation - should be """&amp;INDEX(Config!$H$2:$H$3,MATCH($Q19,Config!$H$2:$H$3,0))&amp;""" exactly","Must be one of: eSIM, Physical SIM")))</f>
        <v>OK</v>
      </c>
      <c r="AB19" s="6" t="str">
        <f t="shared" ca="1" si="4"/>
        <v>ICC_ID: Must start with 89 (ITU-T E.118 telecom prefix)</v>
      </c>
      <c r="AC19" s="6"/>
      <c r="AD19" s="7" t="s">
        <v>328</v>
      </c>
    </row>
    <row r="20" spans="1:30" x14ac:dyDescent="0.35">
      <c r="A20" s="6" t="s">
        <v>329</v>
      </c>
      <c r="B20" s="6" t="s">
        <v>330</v>
      </c>
      <c r="C20" s="9" t="s">
        <v>331</v>
      </c>
      <c r="D20" s="6"/>
      <c r="E20" s="9" t="s">
        <v>332</v>
      </c>
      <c r="F20" s="6"/>
      <c r="G20" s="10" t="s">
        <v>248</v>
      </c>
      <c r="H20" s="6" t="s">
        <v>170</v>
      </c>
      <c r="I20" s="6"/>
      <c r="J20" s="6"/>
      <c r="K20" s="6"/>
      <c r="L20" s="6"/>
      <c r="M20" s="6"/>
      <c r="N20" s="6"/>
      <c r="O20" s="6"/>
      <c r="P20" s="6" t="s">
        <v>61</v>
      </c>
      <c r="Q20" s="6" t="s">
        <v>62</v>
      </c>
      <c r="R20" s="6"/>
      <c r="S20" s="6"/>
      <c r="T20" s="6" t="str">
        <f ca="1">IF($C20="","",IF($V20="","No digits at all - enter a phone number",IF(NOT(SUMPRODUCT(--ISNUMBER(--MID($V20,ROW(INDIRECT("1:"&amp;LEN($V20))),1)))=LEN($V20)),"Digits only - no letters or symbols (+ ( ) - . and spaces are tolerated)",IF(LEN($V20)&lt;8,"Too short - "&amp;LEN($V20)&amp;" digits (min 8)",IF(LEN($V20)&gt;15,"Too long - "&amp;LEN($V20)&amp;" digits (max 15)",IF($H20="","WARNING: SIM_Country is empty - cannot check the country code",IF(ISNA(MATCH($H20,tblCountries[Name],0)),"WARNING: SIM_Country """&amp;$H20&amp;""" is not in tblCountries",IF(LEFT($V20,LEN(TEXT(INDEX(tblCountries[DialCode],MATCH($H20,tblCountries[Name],0)),"0")))&lt;&gt;TEXT(INDEX(tblCountries[DialCode],MATCH($H20,tblCountries[Name],0)),"0"),"Wrong country code - must start with +"&amp;TEXT(INDEX(tblCountries[DialCode],MATCH($H20,tblCountries[Name],0)),"0")&amp;" for "&amp;$H20,"OK"))))))))</f>
        <v>OK</v>
      </c>
      <c r="U20" s="9" t="s">
        <v>249</v>
      </c>
      <c r="V20" s="9" t="str">
        <f t="shared" si="0"/>
        <v>351912345678</v>
      </c>
      <c r="W20" s="6" t="str">
        <f t="shared" ca="1" si="1"/>
        <v>Digits only - no +, -, spaces or any other character</v>
      </c>
      <c r="X20" s="6" t="str">
        <f t="shared" ca="1" si="2"/>
        <v>OK</v>
      </c>
      <c r="Y20" s="6" t="str">
        <f t="shared" ca="1" si="3"/>
        <v>OK</v>
      </c>
      <c r="Z20" s="6" t="str">
        <f>IF($P20="","",IF(SUMPRODUCT(--EXACT($P20,Config!$G$2:$G$4))&gt;0,"OK",IF(NOT(ISNA(MATCH($P20,Config!$G$2:$G$4,0))),"WARNING: wrong capitalisation - should be """&amp;INDEX(Config!$G$2:$G$4,MATCH($P20,Config!$G$2:$G$4,0))&amp;""" exactly","Must be one of: Active, Deactivated, Suspended")))</f>
        <v>OK</v>
      </c>
      <c r="AA20" s="6" t="str">
        <f>IF($Q20="","",IF(SUMPRODUCT(--EXACT($Q20,Config!$H$2:$H$3))&gt;0,"OK",IF(NOT(ISNA(MATCH($Q20,Config!$H$2:$H$3,0))),"WARNING: wrong capitalisation - should be """&amp;INDEX(Config!$H$2:$H$3,MATCH($Q20,Config!$H$2:$H$3,0))&amp;""" exactly","Must be one of: eSIM, Physical SIM")))</f>
        <v>OK</v>
      </c>
      <c r="AB20" s="6" t="str">
        <f t="shared" ca="1" si="4"/>
        <v>ICC_ID: Digits only - no +, -, spaces or any other character</v>
      </c>
      <c r="AC20" s="6"/>
      <c r="AD20" s="7" t="s">
        <v>333</v>
      </c>
    </row>
    <row r="21" spans="1:30" x14ac:dyDescent="0.35">
      <c r="A21" s="6" t="s">
        <v>334</v>
      </c>
      <c r="B21" s="6" t="s">
        <v>335</v>
      </c>
      <c r="C21" s="9" t="s">
        <v>336</v>
      </c>
      <c r="D21" s="6"/>
      <c r="E21" s="9" t="s">
        <v>337</v>
      </c>
      <c r="F21" s="6"/>
      <c r="G21" s="10" t="s">
        <v>248</v>
      </c>
      <c r="H21" s="6" t="s">
        <v>101</v>
      </c>
      <c r="I21" s="6"/>
      <c r="J21" s="6"/>
      <c r="K21" s="6"/>
      <c r="L21" s="6"/>
      <c r="M21" s="6"/>
      <c r="N21" s="6"/>
      <c r="O21" s="6"/>
      <c r="P21" s="6" t="s">
        <v>61</v>
      </c>
      <c r="Q21" s="6" t="s">
        <v>62</v>
      </c>
      <c r="R21" s="6"/>
      <c r="S21" s="6"/>
      <c r="T21" s="6" t="str">
        <f ca="1">IF($C21="","",IF($V21="","No digits at all - enter a phone number",IF(NOT(SUMPRODUCT(--ISNUMBER(--MID($V21,ROW(INDIRECT("1:"&amp;LEN($V21))),1)))=LEN($V21)),"Digits only - no letters or symbols (+ ( ) - . and spaces are tolerated)",IF(LEN($V21)&lt;8,"Too short - "&amp;LEN($V21)&amp;" digits (min 8)",IF(LEN($V21)&gt;15,"Too long - "&amp;LEN($V21)&amp;" digits (max 15)",IF($H21="","WARNING: SIM_Country is empty - cannot check the country code",IF(ISNA(MATCH($H21,tblCountries[Name],0)),"WARNING: SIM_Country """&amp;$H21&amp;""" is not in tblCountries",IF(LEFT($V21,LEN(TEXT(INDEX(tblCountries[DialCode],MATCH($H21,tblCountries[Name],0)),"0")))&lt;&gt;TEXT(INDEX(tblCountries[DialCode],MATCH($H21,tblCountries[Name],0)),"0"),"Wrong country code - must start with +"&amp;TEXT(INDEX(tblCountries[DialCode],MATCH($H21,tblCountries[Name],0)),"0")&amp;" for "&amp;$H21,"OK"))))))))</f>
        <v>OK</v>
      </c>
      <c r="U21" s="9" t="s">
        <v>249</v>
      </c>
      <c r="V21" s="9" t="str">
        <f t="shared" si="0"/>
        <v>358401234567</v>
      </c>
      <c r="W21" s="6" t="str">
        <f t="shared" ca="1" si="1"/>
        <v>WARNING: Luhn check digit does not match - likely a typo or a transposition</v>
      </c>
      <c r="X21" s="6" t="str">
        <f t="shared" ca="1" si="2"/>
        <v>OK</v>
      </c>
      <c r="Y21" s="6" t="str">
        <f t="shared" ca="1" si="3"/>
        <v>OK</v>
      </c>
      <c r="Z21" s="6" t="str">
        <f>IF($P21="","",IF(SUMPRODUCT(--EXACT($P21,Config!$G$2:$G$4))&gt;0,"OK",IF(NOT(ISNA(MATCH($P21,Config!$G$2:$G$4,0))),"WARNING: wrong capitalisation - should be """&amp;INDEX(Config!$G$2:$G$4,MATCH($P21,Config!$G$2:$G$4,0))&amp;""" exactly","Must be one of: Active, Deactivated, Suspended")))</f>
        <v>OK</v>
      </c>
      <c r="AA21" s="6" t="str">
        <f>IF($Q21="","",IF(SUMPRODUCT(--EXACT($Q21,Config!$H$2:$H$3))&gt;0,"OK",IF(NOT(ISNA(MATCH($Q21,Config!$H$2:$H$3,0))),"WARNING: wrong capitalisation - should be """&amp;INDEX(Config!$H$2:$H$3,MATCH($Q21,Config!$H$2:$H$3,0))&amp;""" exactly","Must be one of: eSIM, Physical SIM")))</f>
        <v>OK</v>
      </c>
      <c r="AB21" s="6" t="str">
        <f t="shared" ca="1" si="4"/>
        <v>ICC_ID: WARNING: Luhn check digit does not match - likely a typo or a transposition</v>
      </c>
      <c r="AC21" s="6"/>
      <c r="AD21" s="7" t="s">
        <v>338</v>
      </c>
    </row>
    <row r="22" spans="1:30" x14ac:dyDescent="0.35">
      <c r="A22" s="6" t="s">
        <v>339</v>
      </c>
      <c r="B22" s="6" t="s">
        <v>340</v>
      </c>
      <c r="C22" s="9" t="s">
        <v>341</v>
      </c>
      <c r="D22" s="6"/>
      <c r="E22" s="9" t="s">
        <v>267</v>
      </c>
      <c r="F22" s="6"/>
      <c r="G22" s="10" t="s">
        <v>248</v>
      </c>
      <c r="H22" s="6" t="s">
        <v>116</v>
      </c>
      <c r="I22" s="6"/>
      <c r="J22" s="6"/>
      <c r="K22" s="6"/>
      <c r="L22" s="6"/>
      <c r="M22" s="6"/>
      <c r="N22" s="6"/>
      <c r="O22" s="6"/>
      <c r="P22" s="6" t="s">
        <v>61</v>
      </c>
      <c r="Q22" s="6" t="s">
        <v>62</v>
      </c>
      <c r="R22" s="6"/>
      <c r="S22" s="6"/>
      <c r="T22" s="6" t="str">
        <f ca="1">IF($C22="","",IF($V22="","No digits at all - enter a phone number",IF(NOT(SUMPRODUCT(--ISNUMBER(--MID($V22,ROW(INDIRECT("1:"&amp;LEN($V22))),1)))=LEN($V22)),"Digits only - no letters or symbols (+ ( ) - . and spaces are tolerated)",IF(LEN($V22)&lt;8,"Too short - "&amp;LEN($V22)&amp;" digits (min 8)",IF(LEN($V22)&gt;15,"Too long - "&amp;LEN($V22)&amp;" digits (max 15)",IF($H22="","WARNING: SIM_Country is empty - cannot check the country code",IF(ISNA(MATCH($H22,tblCountries[Name],0)),"WARNING: SIM_Country """&amp;$H22&amp;""" is not in tblCountries",IF(LEFT($V22,LEN(TEXT(INDEX(tblCountries[DialCode],MATCH($H22,tblCountries[Name],0)),"0")))&lt;&gt;TEXT(INDEX(tblCountries[DialCode],MATCH($H22,tblCountries[Name],0)),"0"),"Wrong country code - must start with +"&amp;TEXT(INDEX(tblCountries[DialCode],MATCH($H22,tblCountries[Name],0)),"0")&amp;" for "&amp;$H22,"OK"))))))))</f>
        <v>OK</v>
      </c>
      <c r="U22" s="9" t="s">
        <v>249</v>
      </c>
      <c r="V22" s="9" t="str">
        <f t="shared" si="0"/>
        <v>36301234567</v>
      </c>
      <c r="W22" s="6" t="str">
        <f t="shared" ca="1" si="1"/>
        <v>OK</v>
      </c>
      <c r="X22" s="6" t="str">
        <f t="shared" ca="1" si="2"/>
        <v>OK</v>
      </c>
      <c r="Y22" s="6" t="str">
        <f t="shared" ca="1" si="3"/>
        <v>OK</v>
      </c>
      <c r="Z22" s="6" t="str">
        <f>IF($P22="","",IF(SUMPRODUCT(--EXACT($P22,Config!$G$2:$G$4))&gt;0,"OK",IF(NOT(ISNA(MATCH($P22,Config!$G$2:$G$4,0))),"WARNING: wrong capitalisation - should be """&amp;INDEX(Config!$G$2:$G$4,MATCH($P22,Config!$G$2:$G$4,0))&amp;""" exactly","Must be one of: Active, Deactivated, Suspended")))</f>
        <v>OK</v>
      </c>
      <c r="AA22" s="6" t="str">
        <f>IF($Q22="","",IF(SUMPRODUCT(--EXACT($Q22,Config!$H$2:$H$3))&gt;0,"OK",IF(NOT(ISNA(MATCH($Q22,Config!$H$2:$H$3,0))),"WARNING: wrong capitalisation - should be """&amp;INDEX(Config!$H$2:$H$3,MATCH($Q22,Config!$H$2:$H$3,0))&amp;""" exactly","Must be one of: eSIM, Physical SIM")))</f>
        <v>OK</v>
      </c>
      <c r="AB22" s="6" t="str">
        <f t="shared" ca="1" si="4"/>
        <v>OK</v>
      </c>
      <c r="AC22" s="6"/>
      <c r="AD22" s="7" t="s">
        <v>342</v>
      </c>
    </row>
    <row r="23" spans="1:30" x14ac:dyDescent="0.35">
      <c r="A23" s="6" t="s">
        <v>343</v>
      </c>
      <c r="B23" s="6" t="s">
        <v>344</v>
      </c>
      <c r="C23" s="9" t="s">
        <v>345</v>
      </c>
      <c r="D23" s="6"/>
      <c r="E23" s="9" t="s">
        <v>247</v>
      </c>
      <c r="F23" s="6"/>
      <c r="G23" s="10" t="s">
        <v>248</v>
      </c>
      <c r="H23" s="6" t="s">
        <v>206</v>
      </c>
      <c r="I23" s="6"/>
      <c r="J23" s="6"/>
      <c r="K23" s="6"/>
      <c r="L23" s="6"/>
      <c r="M23" s="6"/>
      <c r="N23" s="6"/>
      <c r="O23" s="6"/>
      <c r="P23" s="6" t="s">
        <v>61</v>
      </c>
      <c r="Q23" s="6" t="s">
        <v>67</v>
      </c>
      <c r="R23" s="6"/>
      <c r="S23" s="6"/>
      <c r="T23" s="6" t="str">
        <f ca="1">IF($C23="","",IF($V23="","No digits at all - enter a phone number",IF(NOT(SUMPRODUCT(--ISNUMBER(--MID($V23,ROW(INDIRECT("1:"&amp;LEN($V23))),1)))=LEN($V23)),"Digits only - no letters or symbols (+ ( ) - . and spaces are tolerated)",IF(LEN($V23)&lt;8,"Too short - "&amp;LEN($V23)&amp;" digits (min 8)",IF(LEN($V23)&gt;15,"Too long - "&amp;LEN($V23)&amp;" digits (max 15)",IF($H23="","WARNING: SIM_Country is empty - cannot check the country code",IF(ISNA(MATCH($H23,tblCountries[Name],0)),"WARNING: SIM_Country """&amp;$H23&amp;""" is not in tblCountries",IF(LEFT($V23,LEN(TEXT(INDEX(tblCountries[DialCode],MATCH($H23,tblCountries[Name],0)),"0")))&lt;&gt;TEXT(INDEX(tblCountries[DialCode],MATCH($H23,tblCountries[Name],0)),"0"),"Wrong country code - must start with +"&amp;TEXT(INDEX(tblCountries[DialCode],MATCH($H23,tblCountries[Name],0)),"0")&amp;" for "&amp;$H23,"OK"))))))))</f>
        <v>OK</v>
      </c>
      <c r="U23" s="9" t="s">
        <v>346</v>
      </c>
      <c r="V23" s="9" t="str">
        <f t="shared" si="0"/>
        <v>971501234567</v>
      </c>
      <c r="W23" s="6" t="str">
        <f t="shared" ca="1" si="1"/>
        <v>OK</v>
      </c>
      <c r="X23" s="6" t="str">
        <f t="shared" ca="1" si="2"/>
        <v>Must be exactly 15 digits - this one has 14</v>
      </c>
      <c r="Y23" s="6" t="str">
        <f t="shared" ca="1" si="3"/>
        <v>OK</v>
      </c>
      <c r="Z23" s="6" t="str">
        <f>IF($P23="","",IF(SUMPRODUCT(--EXACT($P23,Config!$G$2:$G$4))&gt;0,"OK",IF(NOT(ISNA(MATCH($P23,Config!$G$2:$G$4,0))),"WARNING: wrong capitalisation - should be """&amp;INDEX(Config!$G$2:$G$4,MATCH($P23,Config!$G$2:$G$4,0))&amp;""" exactly","Must be one of: Active, Deactivated, Suspended")))</f>
        <v>OK</v>
      </c>
      <c r="AA23" s="6" t="str">
        <f>IF($Q23="","",IF(SUMPRODUCT(--EXACT($Q23,Config!$H$2:$H$3))&gt;0,"OK",IF(NOT(ISNA(MATCH($Q23,Config!$H$2:$H$3,0))),"WARNING: wrong capitalisation - should be """&amp;INDEX(Config!$H$2:$H$3,MATCH($Q23,Config!$H$2:$H$3,0))&amp;""" exactly","Must be one of: eSIM, Physical SIM")))</f>
        <v>OK</v>
      </c>
      <c r="AB23" s="6" t="str">
        <f t="shared" ca="1" si="4"/>
        <v>IMEI: Must be exactly 15 digits - this one has 14</v>
      </c>
      <c r="AC23" s="6"/>
      <c r="AD23" s="7" t="s">
        <v>347</v>
      </c>
    </row>
    <row r="24" spans="1:30" x14ac:dyDescent="0.35">
      <c r="A24" s="6" t="s">
        <v>348</v>
      </c>
      <c r="B24" s="6" t="s">
        <v>349</v>
      </c>
      <c r="C24" s="9" t="s">
        <v>350</v>
      </c>
      <c r="D24" s="6"/>
      <c r="E24" s="9" t="s">
        <v>247</v>
      </c>
      <c r="F24" s="6"/>
      <c r="G24" s="10" t="s">
        <v>248</v>
      </c>
      <c r="H24" s="6" t="s">
        <v>128</v>
      </c>
      <c r="I24" s="6"/>
      <c r="J24" s="6"/>
      <c r="K24" s="6"/>
      <c r="L24" s="6"/>
      <c r="M24" s="6"/>
      <c r="N24" s="6"/>
      <c r="O24" s="6"/>
      <c r="P24" s="6" t="s">
        <v>61</v>
      </c>
      <c r="Q24" s="6" t="s">
        <v>67</v>
      </c>
      <c r="R24" s="6"/>
      <c r="S24" s="6"/>
      <c r="T24" s="6" t="str">
        <f ca="1">IF($C24="","",IF($V24="","No digits at all - enter a phone number",IF(NOT(SUMPRODUCT(--ISNUMBER(--MID($V24,ROW(INDIRECT("1:"&amp;LEN($V24))),1)))=LEN($V24)),"Digits only - no letters or symbols (+ ( ) - . and spaces are tolerated)",IF(LEN($V24)&lt;8,"Too short - "&amp;LEN($V24)&amp;" digits (min 8)",IF(LEN($V24)&gt;15,"Too long - "&amp;LEN($V24)&amp;" digits (max 15)",IF($H24="","WARNING: SIM_Country is empty - cannot check the country code",IF(ISNA(MATCH($H24,tblCountries[Name],0)),"WARNING: SIM_Country """&amp;$H24&amp;""" is not in tblCountries",IF(LEFT($V24,LEN(TEXT(INDEX(tblCountries[DialCode],MATCH($H24,tblCountries[Name],0)),"0")))&lt;&gt;TEXT(INDEX(tblCountries[DialCode],MATCH($H24,tblCountries[Name],0)),"0"),"Wrong country code - must start with +"&amp;TEXT(INDEX(tblCountries[DialCode],MATCH($H24,tblCountries[Name],0)),"0")&amp;" for "&amp;$H24,"OK"))))))))</f>
        <v>OK</v>
      </c>
      <c r="U24" s="9" t="s">
        <v>351</v>
      </c>
      <c r="V24" s="9" t="str">
        <f t="shared" si="0"/>
        <v>972501234567</v>
      </c>
      <c r="W24" s="6" t="str">
        <f t="shared" ca="1" si="1"/>
        <v>OK</v>
      </c>
      <c r="X24" s="6" t="str">
        <f t="shared" ca="1" si="2"/>
        <v>Digits only - no +, -, spaces or any other character</v>
      </c>
      <c r="Y24" s="6" t="str">
        <f t="shared" ca="1" si="3"/>
        <v>OK</v>
      </c>
      <c r="Z24" s="6" t="str">
        <f>IF($P24="","",IF(SUMPRODUCT(--EXACT($P24,Config!$G$2:$G$4))&gt;0,"OK",IF(NOT(ISNA(MATCH($P24,Config!$G$2:$G$4,0))),"WARNING: wrong capitalisation - should be """&amp;INDEX(Config!$G$2:$G$4,MATCH($P24,Config!$G$2:$G$4,0))&amp;""" exactly","Must be one of: Active, Deactivated, Suspended")))</f>
        <v>OK</v>
      </c>
      <c r="AA24" s="6" t="str">
        <f>IF($Q24="","",IF(SUMPRODUCT(--EXACT($Q24,Config!$H$2:$H$3))&gt;0,"OK",IF(NOT(ISNA(MATCH($Q24,Config!$H$2:$H$3,0))),"WARNING: wrong capitalisation - should be """&amp;INDEX(Config!$H$2:$H$3,MATCH($Q24,Config!$H$2:$H$3,0))&amp;""" exactly","Must be one of: eSIM, Physical SIM")))</f>
        <v>OK</v>
      </c>
      <c r="AB24" s="6" t="str">
        <f t="shared" ca="1" si="4"/>
        <v>IMEI: Digits only - no +, -, spaces or any other character</v>
      </c>
      <c r="AC24" s="6"/>
      <c r="AD24" s="7" t="s">
        <v>352</v>
      </c>
    </row>
    <row r="25" spans="1:30" x14ac:dyDescent="0.35">
      <c r="A25" s="6" t="s">
        <v>353</v>
      </c>
      <c r="B25" s="6" t="s">
        <v>354</v>
      </c>
      <c r="C25" s="9" t="s">
        <v>355</v>
      </c>
      <c r="D25" s="6"/>
      <c r="E25" s="9" t="s">
        <v>247</v>
      </c>
      <c r="F25" s="6"/>
      <c r="G25" s="10" t="s">
        <v>248</v>
      </c>
      <c r="H25" s="6" t="s">
        <v>194</v>
      </c>
      <c r="I25" s="6"/>
      <c r="J25" s="6"/>
      <c r="K25" s="6"/>
      <c r="L25" s="6"/>
      <c r="M25" s="6"/>
      <c r="N25" s="6"/>
      <c r="O25" s="6"/>
      <c r="P25" s="6" t="s">
        <v>61</v>
      </c>
      <c r="Q25" s="6" t="s">
        <v>67</v>
      </c>
      <c r="R25" s="6"/>
      <c r="S25" s="6"/>
      <c r="T25" s="6" t="str">
        <f ca="1">IF($C25="","",IF($V25="","No digits at all - enter a phone number",IF(NOT(SUMPRODUCT(--ISNUMBER(--MID($V25,ROW(INDIRECT("1:"&amp;LEN($V25))),1)))=LEN($V25)),"Digits only - no letters or symbols (+ ( ) - . and spaces are tolerated)",IF(LEN($V25)&lt;8,"Too short - "&amp;LEN($V25)&amp;" digits (min 8)",IF(LEN($V25)&gt;15,"Too long - "&amp;LEN($V25)&amp;" digits (max 15)",IF($H25="","WARNING: SIM_Country is empty - cannot check the country code",IF(ISNA(MATCH($H25,tblCountries[Name],0)),"WARNING: SIM_Country """&amp;$H25&amp;""" is not in tblCountries",IF(LEFT($V25,LEN(TEXT(INDEX(tblCountries[DialCode],MATCH($H25,tblCountries[Name],0)),"0")))&lt;&gt;TEXT(INDEX(tblCountries[DialCode],MATCH($H25,tblCountries[Name],0)),"0"),"Wrong country code - must start with +"&amp;TEXT(INDEX(tblCountries[DialCode],MATCH($H25,tblCountries[Name],0)),"0")&amp;" for "&amp;$H25,"OK"))))))))</f>
        <v>OK</v>
      </c>
      <c r="U25" s="9" t="s">
        <v>356</v>
      </c>
      <c r="V25" s="9" t="str">
        <f t="shared" si="0"/>
        <v>46701234567</v>
      </c>
      <c r="W25" s="6" t="str">
        <f t="shared" ca="1" si="1"/>
        <v>OK</v>
      </c>
      <c r="X25" s="6" t="str">
        <f t="shared" ca="1" si="2"/>
        <v>WARNING: Luhn check digit does not match - likely a typo or a transposition</v>
      </c>
      <c r="Y25" s="6" t="str">
        <f t="shared" ca="1" si="3"/>
        <v>OK</v>
      </c>
      <c r="Z25" s="6" t="str">
        <f>IF($P25="","",IF(SUMPRODUCT(--EXACT($P25,Config!$G$2:$G$4))&gt;0,"OK",IF(NOT(ISNA(MATCH($P25,Config!$G$2:$G$4,0))),"WARNING: wrong capitalisation - should be """&amp;INDEX(Config!$G$2:$G$4,MATCH($P25,Config!$G$2:$G$4,0))&amp;""" exactly","Must be one of: Active, Deactivated, Suspended")))</f>
        <v>OK</v>
      </c>
      <c r="AA25" s="6" t="str">
        <f>IF($Q25="","",IF(SUMPRODUCT(--EXACT($Q25,Config!$H$2:$H$3))&gt;0,"OK",IF(NOT(ISNA(MATCH($Q25,Config!$H$2:$H$3,0))),"WARNING: wrong capitalisation - should be """&amp;INDEX(Config!$H$2:$H$3,MATCH($Q25,Config!$H$2:$H$3,0))&amp;""" exactly","Must be one of: eSIM, Physical SIM")))</f>
        <v>OK</v>
      </c>
      <c r="AB25" s="6" t="str">
        <f t="shared" ca="1" si="4"/>
        <v>IMEI: WARNING: Luhn check digit does not match - likely a typo or a transposition</v>
      </c>
      <c r="AC25" s="6"/>
      <c r="AD25" s="7" t="s">
        <v>357</v>
      </c>
    </row>
    <row r="26" spans="1:30" x14ac:dyDescent="0.35">
      <c r="A26" s="6" t="s">
        <v>358</v>
      </c>
      <c r="B26" s="6" t="s">
        <v>359</v>
      </c>
      <c r="C26" s="9" t="s">
        <v>360</v>
      </c>
      <c r="D26" s="6"/>
      <c r="E26" s="9" t="s">
        <v>247</v>
      </c>
      <c r="F26" s="6"/>
      <c r="G26" s="10" t="s">
        <v>361</v>
      </c>
      <c r="H26" s="6" t="s">
        <v>107</v>
      </c>
      <c r="I26" s="6"/>
      <c r="J26" s="6"/>
      <c r="K26" s="6"/>
      <c r="L26" s="6"/>
      <c r="M26" s="6"/>
      <c r="N26" s="6"/>
      <c r="O26" s="6"/>
      <c r="P26" s="6" t="s">
        <v>61</v>
      </c>
      <c r="Q26" s="6" t="s">
        <v>62</v>
      </c>
      <c r="R26" s="6"/>
      <c r="S26" s="6"/>
      <c r="T26" s="6" t="str">
        <f ca="1">IF($C26="","",IF($V26="","No digits at all - enter a phone number",IF(NOT(SUMPRODUCT(--ISNUMBER(--MID($V26,ROW(INDIRECT("1:"&amp;LEN($V26))),1)))=LEN($V26)),"Digits only - no letters or symbols (+ ( ) - . and spaces are tolerated)",IF(LEN($V26)&lt;8,"Too short - "&amp;LEN($V26)&amp;" digits (min 8)",IF(LEN($V26)&gt;15,"Too long - "&amp;LEN($V26)&amp;" digits (max 15)",IF($H26="","WARNING: SIM_Country is empty - cannot check the country code",IF(ISNA(MATCH($H26,tblCountries[Name],0)),"WARNING: SIM_Country """&amp;$H26&amp;""" is not in tblCountries",IF(LEFT($V26,LEN(TEXT(INDEX(tblCountries[DialCode],MATCH($H26,tblCountries[Name],0)),"0")))&lt;&gt;TEXT(INDEX(tblCountries[DialCode],MATCH($H26,tblCountries[Name],0)),"0"),"Wrong country code - must start with +"&amp;TEXT(INDEX(tblCountries[DialCode],MATCH($H26,tblCountries[Name],0)),"0")&amp;" for "&amp;$H26,"OK"))))))))</f>
        <v>OK</v>
      </c>
      <c r="U26" s="9" t="s">
        <v>249</v>
      </c>
      <c r="V26" s="9" t="str">
        <f t="shared" si="0"/>
        <v>4915112345678</v>
      </c>
      <c r="W26" s="6" t="str">
        <f t="shared" ca="1" si="1"/>
        <v>OK</v>
      </c>
      <c r="X26" s="6" t="str">
        <f t="shared" ca="1" si="2"/>
        <v>OK</v>
      </c>
      <c r="Y26" s="6" t="str">
        <f t="shared" ca="1" si="3"/>
        <v>Looks like yyyy-mm-dd - StartDate must put the DAY first: dd-mm-yyyy</v>
      </c>
      <c r="Z26" s="6" t="str">
        <f>IF($P26="","",IF(SUMPRODUCT(--EXACT($P26,Config!$G$2:$G$4))&gt;0,"OK",IF(NOT(ISNA(MATCH($P26,Config!$G$2:$G$4,0))),"WARNING: wrong capitalisation - should be """&amp;INDEX(Config!$G$2:$G$4,MATCH($P26,Config!$G$2:$G$4,0))&amp;""" exactly","Must be one of: Active, Deactivated, Suspended")))</f>
        <v>OK</v>
      </c>
      <c r="AA26" s="6" t="str">
        <f>IF($Q26="","",IF(SUMPRODUCT(--EXACT($Q26,Config!$H$2:$H$3))&gt;0,"OK",IF(NOT(ISNA(MATCH($Q26,Config!$H$2:$H$3,0))),"WARNING: wrong capitalisation - should be """&amp;INDEX(Config!$H$2:$H$3,MATCH($Q26,Config!$H$2:$H$3,0))&amp;""" exactly","Must be one of: eSIM, Physical SIM")))</f>
        <v>OK</v>
      </c>
      <c r="AB26" s="6" t="str">
        <f t="shared" ca="1" si="4"/>
        <v>StartDate: Looks like yyyy-mm-dd - StartDate must put the DAY first: dd-mm-yyyy</v>
      </c>
      <c r="AC26" s="6"/>
      <c r="AD26" s="7" t="s">
        <v>362</v>
      </c>
    </row>
    <row r="27" spans="1:30" x14ac:dyDescent="0.35">
      <c r="A27" s="6" t="s">
        <v>363</v>
      </c>
      <c r="B27" s="6" t="s">
        <v>364</v>
      </c>
      <c r="C27" s="9" t="s">
        <v>365</v>
      </c>
      <c r="D27" s="6"/>
      <c r="E27" s="9" t="s">
        <v>247</v>
      </c>
      <c r="F27" s="6"/>
      <c r="G27" s="10" t="s">
        <v>366</v>
      </c>
      <c r="H27" s="6" t="s">
        <v>170</v>
      </c>
      <c r="I27" s="6"/>
      <c r="J27" s="6"/>
      <c r="K27" s="6"/>
      <c r="L27" s="6"/>
      <c r="M27" s="6"/>
      <c r="N27" s="6"/>
      <c r="O27" s="6"/>
      <c r="P27" s="6" t="s">
        <v>61</v>
      </c>
      <c r="Q27" s="6" t="s">
        <v>62</v>
      </c>
      <c r="R27" s="6"/>
      <c r="S27" s="6"/>
      <c r="T27" s="6" t="str">
        <f ca="1">IF($C27="","",IF($V27="","No digits at all - enter a phone number",IF(NOT(SUMPRODUCT(--ISNUMBER(--MID($V27,ROW(INDIRECT("1:"&amp;LEN($V27))),1)))=LEN($V27)),"Digits only - no letters or symbols (+ ( ) - . and spaces are tolerated)",IF(LEN($V27)&lt;8,"Too short - "&amp;LEN($V27)&amp;" digits (min 8)",IF(LEN($V27)&gt;15,"Too long - "&amp;LEN($V27)&amp;" digits (max 15)",IF($H27="","WARNING: SIM_Country is empty - cannot check the country code",IF(ISNA(MATCH($H27,tblCountries[Name],0)),"WARNING: SIM_Country """&amp;$H27&amp;""" is not in tblCountries",IF(LEFT($V27,LEN(TEXT(INDEX(tblCountries[DialCode],MATCH($H27,tblCountries[Name],0)),"0")))&lt;&gt;TEXT(INDEX(tblCountries[DialCode],MATCH($H27,tblCountries[Name],0)),"0"),"Wrong country code - must start with +"&amp;TEXT(INDEX(tblCountries[DialCode],MATCH($H27,tblCountries[Name],0)),"0")&amp;" for "&amp;$H27,"OK"))))))))</f>
        <v>OK</v>
      </c>
      <c r="U27" s="9" t="s">
        <v>249</v>
      </c>
      <c r="V27" s="9" t="str">
        <f t="shared" si="0"/>
        <v>351912345679</v>
      </c>
      <c r="W27" s="6" t="str">
        <f t="shared" ca="1" si="1"/>
        <v>OK</v>
      </c>
      <c r="X27" s="6" t="str">
        <f t="shared" ca="1" si="2"/>
        <v>OK</v>
      </c>
      <c r="Y27" s="6" t="str">
        <f t="shared" ca="1" si="3"/>
        <v>Not a real calendar date (e.g. 31-02 or 30-02)</v>
      </c>
      <c r="Z27" s="6" t="str">
        <f>IF($P27="","",IF(SUMPRODUCT(--EXACT($P27,Config!$G$2:$G$4))&gt;0,"OK",IF(NOT(ISNA(MATCH($P27,Config!$G$2:$G$4,0))),"WARNING: wrong capitalisation - should be """&amp;INDEX(Config!$G$2:$G$4,MATCH($P27,Config!$G$2:$G$4,0))&amp;""" exactly","Must be one of: Active, Deactivated, Suspended")))</f>
        <v>OK</v>
      </c>
      <c r="AA27" s="6" t="str">
        <f>IF($Q27="","",IF(SUMPRODUCT(--EXACT($Q27,Config!$H$2:$H$3))&gt;0,"OK",IF(NOT(ISNA(MATCH($Q27,Config!$H$2:$H$3,0))),"WARNING: wrong capitalisation - should be """&amp;INDEX(Config!$H$2:$H$3,MATCH($Q27,Config!$H$2:$H$3,0))&amp;""" exactly","Must be one of: eSIM, Physical SIM")))</f>
        <v>OK</v>
      </c>
      <c r="AB27" s="6" t="str">
        <f t="shared" ca="1" si="4"/>
        <v>StartDate: Not a real calendar date (e.g. 31-02 or 30-02)</v>
      </c>
      <c r="AC27" s="6"/>
      <c r="AD27" s="7" t="s">
        <v>367</v>
      </c>
    </row>
    <row r="28" spans="1:30" x14ac:dyDescent="0.35">
      <c r="A28" s="6" t="s">
        <v>368</v>
      </c>
      <c r="B28" s="6" t="s">
        <v>369</v>
      </c>
      <c r="C28" s="9" t="s">
        <v>370</v>
      </c>
      <c r="D28" s="6"/>
      <c r="E28" s="9" t="s">
        <v>247</v>
      </c>
      <c r="F28" s="6"/>
      <c r="G28" s="10" t="s">
        <v>371</v>
      </c>
      <c r="H28" s="6" t="s">
        <v>125</v>
      </c>
      <c r="I28" s="6"/>
      <c r="J28" s="6"/>
      <c r="K28" s="6"/>
      <c r="L28" s="6"/>
      <c r="M28" s="6"/>
      <c r="N28" s="6"/>
      <c r="O28" s="6"/>
      <c r="P28" s="6" t="s">
        <v>61</v>
      </c>
      <c r="Q28" s="6" t="s">
        <v>62</v>
      </c>
      <c r="R28" s="6"/>
      <c r="S28" s="6"/>
      <c r="T28" s="6" t="str">
        <f ca="1">IF($C28="","",IF($V28="","No digits at all - enter a phone number",IF(NOT(SUMPRODUCT(--ISNUMBER(--MID($V28,ROW(INDIRECT("1:"&amp;LEN($V28))),1)))=LEN($V28)),"Digits only - no letters or symbols (+ ( ) - . and spaces are tolerated)",IF(LEN($V28)&lt;8,"Too short - "&amp;LEN($V28)&amp;" digits (min 8)",IF(LEN($V28)&gt;15,"Too long - "&amp;LEN($V28)&amp;" digits (max 15)",IF($H28="","WARNING: SIM_Country is empty - cannot check the country code",IF(ISNA(MATCH($H28,tblCountries[Name],0)),"WARNING: SIM_Country """&amp;$H28&amp;""" is not in tblCountries",IF(LEFT($V28,LEN(TEXT(INDEX(tblCountries[DialCode],MATCH($H28,tblCountries[Name],0)),"0")))&lt;&gt;TEXT(INDEX(tblCountries[DialCode],MATCH($H28,tblCountries[Name],0)),"0"),"Wrong country code - must start with +"&amp;TEXT(INDEX(tblCountries[DialCode],MATCH($H28,tblCountries[Name],0)),"0")&amp;" for "&amp;$H28,"OK"))))))))</f>
        <v>OK</v>
      </c>
      <c r="U28" s="9" t="s">
        <v>249</v>
      </c>
      <c r="V28" s="9" t="str">
        <f t="shared" si="0"/>
        <v>353871234567</v>
      </c>
      <c r="W28" s="6" t="str">
        <f t="shared" ca="1" si="1"/>
        <v>OK</v>
      </c>
      <c r="X28" s="6" t="str">
        <f t="shared" ca="1" si="2"/>
        <v>OK</v>
      </c>
      <c r="Y28" s="6" t="str">
        <f t="shared" ca="1" si="3"/>
        <v>OK</v>
      </c>
      <c r="Z28" s="6" t="str">
        <f>IF($P28="","",IF(SUMPRODUCT(--EXACT($P28,Config!$G$2:$G$4))&gt;0,"OK",IF(NOT(ISNA(MATCH($P28,Config!$G$2:$G$4,0))),"WARNING: wrong capitalisation - should be """&amp;INDEX(Config!$G$2:$G$4,MATCH($P28,Config!$G$2:$G$4,0))&amp;""" exactly","Must be one of: Active, Deactivated, Suspended")))</f>
        <v>OK</v>
      </c>
      <c r="AA28" s="6" t="str">
        <f>IF($Q28="","",IF(SUMPRODUCT(--EXACT($Q28,Config!$H$2:$H$3))&gt;0,"OK",IF(NOT(ISNA(MATCH($Q28,Config!$H$2:$H$3,0))),"WARNING: wrong capitalisation - should be """&amp;INDEX(Config!$H$2:$H$3,MATCH($Q28,Config!$H$2:$H$3,0))&amp;""" exactly","Must be one of: eSIM, Physical SIM")))</f>
        <v>OK</v>
      </c>
      <c r="AB28" s="6" t="str">
        <f t="shared" ca="1" si="4"/>
        <v>OK</v>
      </c>
      <c r="AC28" s="6"/>
      <c r="AD28" s="7" t="s">
        <v>372</v>
      </c>
    </row>
    <row r="29" spans="1:30" x14ac:dyDescent="0.35">
      <c r="A29" s="6" t="s">
        <v>373</v>
      </c>
      <c r="B29" s="6" t="s">
        <v>374</v>
      </c>
      <c r="C29" s="9" t="s">
        <v>375</v>
      </c>
      <c r="D29" s="6"/>
      <c r="E29" s="9" t="s">
        <v>247</v>
      </c>
      <c r="F29" s="6"/>
      <c r="G29" s="10">
        <v>46096</v>
      </c>
      <c r="H29" s="6" t="s">
        <v>86</v>
      </c>
      <c r="I29" s="6"/>
      <c r="J29" s="6"/>
      <c r="K29" s="6"/>
      <c r="L29" s="6"/>
      <c r="M29" s="6"/>
      <c r="N29" s="6"/>
      <c r="O29" s="6"/>
      <c r="P29" s="6" t="s">
        <v>61</v>
      </c>
      <c r="Q29" s="6" t="s">
        <v>62</v>
      </c>
      <c r="R29" s="6"/>
      <c r="S29" s="6"/>
      <c r="T29" s="6" t="str">
        <f ca="1">IF($C29="","",IF($V29="","No digits at all - enter a phone number",IF(NOT(SUMPRODUCT(--ISNUMBER(--MID($V29,ROW(INDIRECT("1:"&amp;LEN($V29))),1)))=LEN($V29)),"Digits only - no letters or symbols (+ ( ) - . and spaces are tolerated)",IF(LEN($V29)&lt;8,"Too short - "&amp;LEN($V29)&amp;" digits (min 8)",IF(LEN($V29)&gt;15,"Too long - "&amp;LEN($V29)&amp;" digits (max 15)",IF($H29="","WARNING: SIM_Country is empty - cannot check the country code",IF(ISNA(MATCH($H29,tblCountries[Name],0)),"WARNING: SIM_Country """&amp;$H29&amp;""" is not in tblCountries",IF(LEFT($V29,LEN(TEXT(INDEX(tblCountries[DialCode],MATCH($H29,tblCountries[Name],0)),"0")))&lt;&gt;TEXT(INDEX(tblCountries[DialCode],MATCH($H29,tblCountries[Name],0)),"0"),"Wrong country code - must start with +"&amp;TEXT(INDEX(tblCountries[DialCode],MATCH($H29,tblCountries[Name],0)),"0")&amp;" for "&amp;$H29,"OK"))))))))</f>
        <v>OK</v>
      </c>
      <c r="U29" s="9" t="s">
        <v>249</v>
      </c>
      <c r="V29" s="9" t="str">
        <f t="shared" si="0"/>
        <v>385911234567</v>
      </c>
      <c r="W29" s="6" t="str">
        <f t="shared" ca="1" si="1"/>
        <v>OK</v>
      </c>
      <c r="X29" s="6" t="str">
        <f t="shared" ca="1" si="2"/>
        <v>OK</v>
      </c>
      <c r="Y29" s="6" t="str">
        <f t="shared" ca="1" si="3"/>
        <v>OK</v>
      </c>
      <c r="Z29" s="6" t="str">
        <f>IF($P29="","",IF(SUMPRODUCT(--EXACT($P29,Config!$G$2:$G$4))&gt;0,"OK",IF(NOT(ISNA(MATCH($P29,Config!$G$2:$G$4,0))),"WARNING: wrong capitalisation - should be """&amp;INDEX(Config!$G$2:$G$4,MATCH($P29,Config!$G$2:$G$4,0))&amp;""" exactly","Must be one of: Active, Deactivated, Suspended")))</f>
        <v>OK</v>
      </c>
      <c r="AA29" s="6" t="str">
        <f>IF($Q29="","",IF(SUMPRODUCT(--EXACT($Q29,Config!$H$2:$H$3))&gt;0,"OK",IF(NOT(ISNA(MATCH($Q29,Config!$H$2:$H$3,0))),"WARNING: wrong capitalisation - should be """&amp;INDEX(Config!$H$2:$H$3,MATCH($Q29,Config!$H$2:$H$3,0))&amp;""" exactly","Must be one of: eSIM, Physical SIM")))</f>
        <v>OK</v>
      </c>
      <c r="AB29" s="6" t="str">
        <f t="shared" ca="1" si="4"/>
        <v>OK</v>
      </c>
      <c r="AC29" s="6"/>
      <c r="AD29" s="7" t="s">
        <v>376</v>
      </c>
    </row>
    <row r="30" spans="1:30" x14ac:dyDescent="0.35">
      <c r="A30" s="6" t="s">
        <v>377</v>
      </c>
      <c r="B30" s="6" t="s">
        <v>378</v>
      </c>
      <c r="C30" s="9" t="s">
        <v>379</v>
      </c>
      <c r="D30" s="6"/>
      <c r="E30" s="9" t="s">
        <v>247</v>
      </c>
      <c r="F30" s="6"/>
      <c r="G30" s="10" t="s">
        <v>380</v>
      </c>
      <c r="H30" s="6" t="s">
        <v>185</v>
      </c>
      <c r="I30" s="6"/>
      <c r="J30" s="6"/>
      <c r="K30" s="6"/>
      <c r="L30" s="6"/>
      <c r="M30" s="6"/>
      <c r="N30" s="6"/>
      <c r="O30" s="6"/>
      <c r="P30" s="6" t="s">
        <v>61</v>
      </c>
      <c r="Q30" s="6" t="s">
        <v>62</v>
      </c>
      <c r="R30" s="6"/>
      <c r="S30" s="6"/>
      <c r="T30" s="6" t="str">
        <f ca="1">IF($C30="","",IF($V30="","No digits at all - enter a phone number",IF(NOT(SUMPRODUCT(--ISNUMBER(--MID($V30,ROW(INDIRECT("1:"&amp;LEN($V30))),1)))=LEN($V30)),"Digits only - no letters or symbols (+ ( ) - . and spaces are tolerated)",IF(LEN($V30)&lt;8,"Too short - "&amp;LEN($V30)&amp;" digits (min 8)",IF(LEN($V30)&gt;15,"Too long - "&amp;LEN($V30)&amp;" digits (max 15)",IF($H30="","WARNING: SIM_Country is empty - cannot check the country code",IF(ISNA(MATCH($H30,tblCountries[Name],0)),"WARNING: SIM_Country """&amp;$H30&amp;""" is not in tblCountries",IF(LEFT($V30,LEN(TEXT(INDEX(tblCountries[DialCode],MATCH($H30,tblCountries[Name],0)),"0")))&lt;&gt;TEXT(INDEX(tblCountries[DialCode],MATCH($H30,tblCountries[Name],0)),"0"),"Wrong country code - must start with +"&amp;TEXT(INDEX(tblCountries[DialCode],MATCH($H30,tblCountries[Name],0)),"0")&amp;" for "&amp;$H30,"OK"))))))))</f>
        <v>OK</v>
      </c>
      <c r="U30" s="9" t="s">
        <v>249</v>
      </c>
      <c r="V30" s="9" t="str">
        <f t="shared" si="0"/>
        <v>386401234567</v>
      </c>
      <c r="W30" s="6" t="str">
        <f t="shared" ca="1" si="1"/>
        <v>OK</v>
      </c>
      <c r="X30" s="6" t="str">
        <f t="shared" ca="1" si="2"/>
        <v>OK</v>
      </c>
      <c r="Y30" s="6" t="str">
        <f t="shared" ca="1" si="3"/>
        <v>Must be dd-mm-yyyy - 10 characters, this one has 8</v>
      </c>
      <c r="Z30" s="6" t="str">
        <f>IF($P30="","",IF(SUMPRODUCT(--EXACT($P30,Config!$G$2:$G$4))&gt;0,"OK",IF(NOT(ISNA(MATCH($P30,Config!$G$2:$G$4,0))),"WARNING: wrong capitalisation - should be """&amp;INDEX(Config!$G$2:$G$4,MATCH($P30,Config!$G$2:$G$4,0))&amp;""" exactly","Must be one of: Active, Deactivated, Suspended")))</f>
        <v>OK</v>
      </c>
      <c r="AA30" s="6" t="str">
        <f>IF($Q30="","",IF(SUMPRODUCT(--EXACT($Q30,Config!$H$2:$H$3))&gt;0,"OK",IF(NOT(ISNA(MATCH($Q30,Config!$H$2:$H$3,0))),"WARNING: wrong capitalisation - should be """&amp;INDEX(Config!$H$2:$H$3,MATCH($Q30,Config!$H$2:$H$3,0))&amp;""" exactly","Must be one of: eSIM, Physical SIM")))</f>
        <v>OK</v>
      </c>
      <c r="AB30" s="6" t="str">
        <f t="shared" ca="1" si="4"/>
        <v>StartDate: Must be dd-mm-yyyy - 10 characters, this one has 8</v>
      </c>
      <c r="AC30" s="6"/>
      <c r="AD30" s="7" t="s">
        <v>381</v>
      </c>
    </row>
    <row r="31" spans="1:30" x14ac:dyDescent="0.35">
      <c r="A31" s="6" t="s">
        <v>382</v>
      </c>
      <c r="B31" s="6" t="s">
        <v>383</v>
      </c>
      <c r="C31" s="9" t="s">
        <v>384</v>
      </c>
      <c r="D31" s="6"/>
      <c r="E31" s="9" t="s">
        <v>247</v>
      </c>
      <c r="F31" s="6"/>
      <c r="G31" s="10" t="s">
        <v>248</v>
      </c>
      <c r="H31" s="6" t="s">
        <v>107</v>
      </c>
      <c r="I31" s="6"/>
      <c r="J31" s="6"/>
      <c r="K31" s="6"/>
      <c r="L31" s="6"/>
      <c r="M31" s="6"/>
      <c r="N31" s="6"/>
      <c r="O31" s="6"/>
      <c r="P31" s="6" t="s">
        <v>385</v>
      </c>
      <c r="Q31" s="6" t="s">
        <v>62</v>
      </c>
      <c r="R31" s="6"/>
      <c r="S31" s="6"/>
      <c r="T31" s="6" t="str">
        <f ca="1">IF($C31="","",IF($V31="","No digits at all - enter a phone number",IF(NOT(SUMPRODUCT(--ISNUMBER(--MID($V31,ROW(INDIRECT("1:"&amp;LEN($V31))),1)))=LEN($V31)),"Digits only - no letters or symbols (+ ( ) - . and spaces are tolerated)",IF(LEN($V31)&lt;8,"Too short - "&amp;LEN($V31)&amp;" digits (min 8)",IF(LEN($V31)&gt;15,"Too long - "&amp;LEN($V31)&amp;" digits (max 15)",IF($H31="","WARNING: SIM_Country is empty - cannot check the country code",IF(ISNA(MATCH($H31,tblCountries[Name],0)),"WARNING: SIM_Country """&amp;$H31&amp;""" is not in tblCountries",IF(LEFT($V31,LEN(TEXT(INDEX(tblCountries[DialCode],MATCH($H31,tblCountries[Name],0)),"0")))&lt;&gt;TEXT(INDEX(tblCountries[DialCode],MATCH($H31,tblCountries[Name],0)),"0"),"Wrong country code - must start with +"&amp;TEXT(INDEX(tblCountries[DialCode],MATCH($H31,tblCountries[Name],0)),"0")&amp;" for "&amp;$H31,"OK"))))))))</f>
        <v>OK</v>
      </c>
      <c r="U31" s="9" t="s">
        <v>249</v>
      </c>
      <c r="V31" s="9" t="str">
        <f t="shared" si="0"/>
        <v>4915112345679</v>
      </c>
      <c r="W31" s="6" t="str">
        <f t="shared" ca="1" si="1"/>
        <v>OK</v>
      </c>
      <c r="X31" s="6" t="str">
        <f t="shared" ca="1" si="2"/>
        <v>OK</v>
      </c>
      <c r="Y31" s="6" t="str">
        <f t="shared" ca="1" si="3"/>
        <v>OK</v>
      </c>
      <c r="Z31" s="6" t="str">
        <f>IF($P31="","",IF(SUMPRODUCT(--EXACT($P31,Config!$G$2:$G$4))&gt;0,"OK",IF(NOT(ISNA(MATCH($P31,Config!$G$2:$G$4,0))),"WARNING: wrong capitalisation - should be """&amp;INDEX(Config!$G$2:$G$4,MATCH($P31,Config!$G$2:$G$4,0))&amp;""" exactly","Must be one of: Active, Deactivated, Suspended")))</f>
        <v>WARNING: wrong capitalisation - should be "Active" exactly</v>
      </c>
      <c r="AA31" s="6" t="str">
        <f>IF($Q31="","",IF(SUMPRODUCT(--EXACT($Q31,Config!$H$2:$H$3))&gt;0,"OK",IF(NOT(ISNA(MATCH($Q31,Config!$H$2:$H$3,0))),"WARNING: wrong capitalisation - should be """&amp;INDEX(Config!$H$2:$H$3,MATCH($Q31,Config!$H$2:$H$3,0))&amp;""" exactly","Must be one of: eSIM, Physical SIM")))</f>
        <v>OK</v>
      </c>
      <c r="AB31" s="6" t="str">
        <f t="shared" ca="1" si="4"/>
        <v>Status: WARNING: wrong capitalisation - should be "Active" exactly</v>
      </c>
      <c r="AC31" s="6"/>
      <c r="AD31" s="7" t="s">
        <v>386</v>
      </c>
    </row>
    <row r="32" spans="1:30" x14ac:dyDescent="0.35">
      <c r="A32" s="6" t="s">
        <v>387</v>
      </c>
      <c r="B32" s="6" t="s">
        <v>388</v>
      </c>
      <c r="C32" s="9" t="s">
        <v>389</v>
      </c>
      <c r="D32" s="6"/>
      <c r="E32" s="9" t="s">
        <v>247</v>
      </c>
      <c r="F32" s="6"/>
      <c r="G32" s="10" t="s">
        <v>248</v>
      </c>
      <c r="H32" s="6" t="s">
        <v>191</v>
      </c>
      <c r="I32" s="6"/>
      <c r="J32" s="6"/>
      <c r="K32" s="6"/>
      <c r="L32" s="6"/>
      <c r="M32" s="6"/>
      <c r="N32" s="6"/>
      <c r="O32" s="6"/>
      <c r="P32" s="6" t="s">
        <v>390</v>
      </c>
      <c r="Q32" s="6" t="s">
        <v>62</v>
      </c>
      <c r="R32" s="6"/>
      <c r="S32" s="6"/>
      <c r="T32" s="6" t="str">
        <f ca="1">IF($C32="","",IF($V32="","No digits at all - enter a phone number",IF(NOT(SUMPRODUCT(--ISNUMBER(--MID($V32,ROW(INDIRECT("1:"&amp;LEN($V32))),1)))=LEN($V32)),"Digits only - no letters or symbols (+ ( ) - . and spaces are tolerated)",IF(LEN($V32)&lt;8,"Too short - "&amp;LEN($V32)&amp;" digits (min 8)",IF(LEN($V32)&gt;15,"Too long - "&amp;LEN($V32)&amp;" digits (max 15)",IF($H32="","WARNING: SIM_Country is empty - cannot check the country code",IF(ISNA(MATCH($H32,tblCountries[Name],0)),"WARNING: SIM_Country """&amp;$H32&amp;""" is not in tblCountries",IF(LEFT($V32,LEN(TEXT(INDEX(tblCountries[DialCode],MATCH($H32,tblCountries[Name],0)),"0")))&lt;&gt;TEXT(INDEX(tblCountries[DialCode],MATCH($H32,tblCountries[Name],0)),"0"),"Wrong country code - must start with +"&amp;TEXT(INDEX(tblCountries[DialCode],MATCH($H32,tblCountries[Name],0)),"0")&amp;" for "&amp;$H32,"OK"))))))))</f>
        <v>OK</v>
      </c>
      <c r="U32" s="9" t="s">
        <v>249</v>
      </c>
      <c r="V32" s="9" t="str">
        <f t="shared" si="0"/>
        <v>34612345678</v>
      </c>
      <c r="W32" s="6" t="str">
        <f t="shared" ca="1" si="1"/>
        <v>OK</v>
      </c>
      <c r="X32" s="6" t="str">
        <f t="shared" ca="1" si="2"/>
        <v>OK</v>
      </c>
      <c r="Y32" s="6" t="str">
        <f t="shared" ca="1" si="3"/>
        <v>OK</v>
      </c>
      <c r="Z32" s="6" t="str">
        <f>IF($P32="","",IF(SUMPRODUCT(--EXACT($P32,Config!$G$2:$G$4))&gt;0,"OK",IF(NOT(ISNA(MATCH($P32,Config!$G$2:$G$4,0))),"WARNING: wrong capitalisation - should be """&amp;INDEX(Config!$G$2:$G$4,MATCH($P32,Config!$G$2:$G$4,0))&amp;""" exactly","Must be one of: Active, Deactivated, Suspended")))</f>
        <v>Must be one of: Active, Deactivated, Suspended</v>
      </c>
      <c r="AA32" s="6" t="str">
        <f>IF($Q32="","",IF(SUMPRODUCT(--EXACT($Q32,Config!$H$2:$H$3))&gt;0,"OK",IF(NOT(ISNA(MATCH($Q32,Config!$H$2:$H$3,0))),"WARNING: wrong capitalisation - should be """&amp;INDEX(Config!$H$2:$H$3,MATCH($Q32,Config!$H$2:$H$3,0))&amp;""" exactly","Must be one of: eSIM, Physical SIM")))</f>
        <v>OK</v>
      </c>
      <c r="AB32" s="6" t="str">
        <f t="shared" ca="1" si="4"/>
        <v>Status: Must be one of: Active, Deactivated, Suspended</v>
      </c>
      <c r="AC32" s="6"/>
      <c r="AD32" s="7" t="s">
        <v>391</v>
      </c>
    </row>
    <row r="33" spans="1:30" x14ac:dyDescent="0.35">
      <c r="A33" s="6" t="s">
        <v>392</v>
      </c>
      <c r="B33" s="6" t="s">
        <v>393</v>
      </c>
      <c r="C33" s="9" t="s">
        <v>394</v>
      </c>
      <c r="D33" s="6"/>
      <c r="E33" s="9" t="s">
        <v>247</v>
      </c>
      <c r="F33" s="6"/>
      <c r="G33" s="10" t="s">
        <v>248</v>
      </c>
      <c r="H33" s="6" t="s">
        <v>95</v>
      </c>
      <c r="I33" s="6"/>
      <c r="J33" s="6"/>
      <c r="K33" s="6"/>
      <c r="L33" s="6"/>
      <c r="M33" s="6"/>
      <c r="N33" s="6"/>
      <c r="O33" s="6"/>
      <c r="P33" s="6" t="s">
        <v>61</v>
      </c>
      <c r="Q33" s="6" t="s">
        <v>395</v>
      </c>
      <c r="R33" s="6"/>
      <c r="S33" s="6"/>
      <c r="T33" s="6" t="str">
        <f ca="1">IF($C33="","",IF($V33="","No digits at all - enter a phone number",IF(NOT(SUMPRODUCT(--ISNUMBER(--MID($V33,ROW(INDIRECT("1:"&amp;LEN($V33))),1)))=LEN($V33)),"Digits only - no letters or symbols (+ ( ) - . and spaces are tolerated)",IF(LEN($V33)&lt;8,"Too short - "&amp;LEN($V33)&amp;" digits (min 8)",IF(LEN($V33)&gt;15,"Too long - "&amp;LEN($V33)&amp;" digits (max 15)",IF($H33="","WARNING: SIM_Country is empty - cannot check the country code",IF(ISNA(MATCH($H33,tblCountries[Name],0)),"WARNING: SIM_Country """&amp;$H33&amp;""" is not in tblCountries",IF(LEFT($V33,LEN(TEXT(INDEX(tblCountries[DialCode],MATCH($H33,tblCountries[Name],0)),"0")))&lt;&gt;TEXT(INDEX(tblCountries[DialCode],MATCH($H33,tblCountries[Name],0)),"0"),"Wrong country code - must start with +"&amp;TEXT(INDEX(tblCountries[DialCode],MATCH($H33,tblCountries[Name],0)),"0")&amp;" for "&amp;$H33,"OK"))))))))</f>
        <v>OK</v>
      </c>
      <c r="U33" s="9" t="s">
        <v>249</v>
      </c>
      <c r="V33" s="9" t="str">
        <f t="shared" si="0"/>
        <v>4531234567</v>
      </c>
      <c r="W33" s="6" t="str">
        <f t="shared" ca="1" si="1"/>
        <v>OK</v>
      </c>
      <c r="X33" s="6" t="str">
        <f t="shared" ca="1" si="2"/>
        <v>OK</v>
      </c>
      <c r="Y33" s="6" t="str">
        <f t="shared" ca="1" si="3"/>
        <v>OK</v>
      </c>
      <c r="Z33" s="6" t="str">
        <f>IF($P33="","",IF(SUMPRODUCT(--EXACT($P33,Config!$G$2:$G$4))&gt;0,"OK",IF(NOT(ISNA(MATCH($P33,Config!$G$2:$G$4,0))),"WARNING: wrong capitalisation - should be """&amp;INDEX(Config!$G$2:$G$4,MATCH($P33,Config!$G$2:$G$4,0))&amp;""" exactly","Must be one of: Active, Deactivated, Suspended")))</f>
        <v>OK</v>
      </c>
      <c r="AA33" s="6" t="str">
        <f>IF($Q33="","",IF(SUMPRODUCT(--EXACT($Q33,Config!$H$2:$H$3))&gt;0,"OK",IF(NOT(ISNA(MATCH($Q33,Config!$H$2:$H$3,0))),"WARNING: wrong capitalisation - should be """&amp;INDEX(Config!$H$2:$H$3,MATCH($Q33,Config!$H$2:$H$3,0))&amp;""" exactly","Must be one of: eSIM, Physical SIM")))</f>
        <v>WARNING: wrong capitalisation - should be "eSIM" exactly</v>
      </c>
      <c r="AB33" s="6" t="str">
        <f t="shared" ca="1" si="4"/>
        <v>SIM Type: WARNING: wrong capitalisation - should be "eSIM" exactly</v>
      </c>
      <c r="AC33" s="6"/>
      <c r="AD33" s="7" t="s">
        <v>396</v>
      </c>
    </row>
    <row r="34" spans="1:30" x14ac:dyDescent="0.35">
      <c r="A34" s="6" t="s">
        <v>397</v>
      </c>
      <c r="B34" s="6" t="s">
        <v>398</v>
      </c>
      <c r="C34" s="9" t="s">
        <v>399</v>
      </c>
      <c r="D34" s="6"/>
      <c r="E34" s="9" t="s">
        <v>247</v>
      </c>
      <c r="F34" s="6"/>
      <c r="G34" s="10" t="s">
        <v>248</v>
      </c>
      <c r="H34" s="6" t="s">
        <v>110</v>
      </c>
      <c r="I34" s="6"/>
      <c r="J34" s="6"/>
      <c r="K34" s="6"/>
      <c r="L34" s="6"/>
      <c r="M34" s="6"/>
      <c r="N34" s="6"/>
      <c r="O34" s="6"/>
      <c r="P34" s="6" t="s">
        <v>61</v>
      </c>
      <c r="Q34" s="6" t="s">
        <v>400</v>
      </c>
      <c r="R34" s="6"/>
      <c r="S34" s="6"/>
      <c r="T34" s="6" t="str">
        <f ca="1">IF($C34="","",IF($V34="","No digits at all - enter a phone number",IF(NOT(SUMPRODUCT(--ISNUMBER(--MID($V34,ROW(INDIRECT("1:"&amp;LEN($V34))),1)))=LEN($V34)),"Digits only - no letters or symbols (+ ( ) - . and spaces are tolerated)",IF(LEN($V34)&lt;8,"Too short - "&amp;LEN($V34)&amp;" digits (min 8)",IF(LEN($V34)&gt;15,"Too long - "&amp;LEN($V34)&amp;" digits (max 15)",IF($H34="","WARNING: SIM_Country is empty - cannot check the country code",IF(ISNA(MATCH($H34,tblCountries[Name],0)),"WARNING: SIM_Country """&amp;$H34&amp;""" is not in tblCountries",IF(LEFT($V34,LEN(TEXT(INDEX(tblCountries[DialCode],MATCH($H34,tblCountries[Name],0)),"0")))&lt;&gt;TEXT(INDEX(tblCountries[DialCode],MATCH($H34,tblCountries[Name],0)),"0"),"Wrong country code - must start with +"&amp;TEXT(INDEX(tblCountries[DialCode],MATCH($H34,tblCountries[Name],0)),"0")&amp;" for "&amp;$H34,"OK"))))))))</f>
        <v>OK</v>
      </c>
      <c r="U34" s="9" t="s">
        <v>249</v>
      </c>
      <c r="V34" s="9" t="str">
        <f t="shared" si="0"/>
        <v>306901234567</v>
      </c>
      <c r="W34" s="6" t="str">
        <f t="shared" ca="1" si="1"/>
        <v>OK</v>
      </c>
      <c r="X34" s="6" t="str">
        <f t="shared" ca="1" si="2"/>
        <v>OK</v>
      </c>
      <c r="Y34" s="6" t="str">
        <f t="shared" ca="1" si="3"/>
        <v>OK</v>
      </c>
      <c r="Z34" s="6" t="str">
        <f>IF($P34="","",IF(SUMPRODUCT(--EXACT($P34,Config!$G$2:$G$4))&gt;0,"OK",IF(NOT(ISNA(MATCH($P34,Config!$G$2:$G$4,0))),"WARNING: wrong capitalisation - should be """&amp;INDEX(Config!$G$2:$G$4,MATCH($P34,Config!$G$2:$G$4,0))&amp;""" exactly","Must be one of: Active, Deactivated, Suspended")))</f>
        <v>OK</v>
      </c>
      <c r="AA34" s="6" t="str">
        <f>IF($Q34="","",IF(SUMPRODUCT(--EXACT($Q34,Config!$H$2:$H$3))&gt;0,"OK",IF(NOT(ISNA(MATCH($Q34,Config!$H$2:$H$3,0))),"WARNING: wrong capitalisation - should be """&amp;INDEX(Config!$H$2:$H$3,MATCH($Q34,Config!$H$2:$H$3,0))&amp;""" exactly","Must be one of: eSIM, Physical SIM")))</f>
        <v>Must be one of: eSIM, Physical SIM</v>
      </c>
      <c r="AB34" s="6" t="str">
        <f t="shared" ca="1" si="4"/>
        <v>SIM Type: Must be one of: eSIM, Physical SIM</v>
      </c>
      <c r="AC34" s="6"/>
      <c r="AD34" s="7" t="s">
        <v>401</v>
      </c>
    </row>
    <row r="35" spans="1:30" x14ac:dyDescent="0.35">
      <c r="A35" s="6" t="s">
        <v>402</v>
      </c>
      <c r="B35" s="6" t="s">
        <v>403</v>
      </c>
      <c r="C35" s="9" t="s">
        <v>404</v>
      </c>
      <c r="D35" s="6"/>
      <c r="E35" s="9">
        <v>8.9352012345678899E+18</v>
      </c>
      <c r="F35" s="6"/>
      <c r="G35" s="10" t="s">
        <v>248</v>
      </c>
      <c r="H35" s="6" t="s">
        <v>203</v>
      </c>
      <c r="I35" s="6"/>
      <c r="J35" s="6"/>
      <c r="K35" s="6"/>
      <c r="L35" s="6"/>
      <c r="M35" s="6"/>
      <c r="N35" s="6"/>
      <c r="O35" s="6"/>
      <c r="P35" s="6" t="s">
        <v>61</v>
      </c>
      <c r="Q35" s="6" t="s">
        <v>62</v>
      </c>
      <c r="R35" s="6"/>
      <c r="S35" s="6"/>
      <c r="T35" s="6" t="str">
        <f ca="1">IF($C35="","",IF($V35="","No digits at all - enter a phone number",IF(NOT(SUMPRODUCT(--ISNUMBER(--MID($V35,ROW(INDIRECT("1:"&amp;LEN($V35))),1)))=LEN($V35)),"Digits only - no letters or symbols (+ ( ) - . and spaces are tolerated)",IF(LEN($V35)&lt;8,"Too short - "&amp;LEN($V35)&amp;" digits (min 8)",IF(LEN($V35)&gt;15,"Too long - "&amp;LEN($V35)&amp;" digits (max 15)",IF($H35="","WARNING: SIM_Country is empty - cannot check the country code",IF(ISNA(MATCH($H35,tblCountries[Name],0)),"WARNING: SIM_Country """&amp;$H35&amp;""" is not in tblCountries",IF(LEFT($V35,LEN(TEXT(INDEX(tblCountries[DialCode],MATCH($H35,tblCountries[Name],0)),"0")))&lt;&gt;TEXT(INDEX(tblCountries[DialCode],MATCH($H35,tblCountries[Name],0)),"0"),"Wrong country code - must start with +"&amp;TEXT(INDEX(tblCountries[DialCode],MATCH($H35,tblCountries[Name],0)),"0")&amp;" for "&amp;$H35,"OK"))))))))</f>
        <v>OK</v>
      </c>
      <c r="U35" s="9" t="s">
        <v>249</v>
      </c>
      <c r="V35" s="9" t="str">
        <f t="shared" si="0"/>
        <v>380501234567</v>
      </c>
      <c r="W35" s="6" t="str">
        <f t="shared" ca="1" si="1"/>
        <v>Stored as a NUMBER - every digit past the 15th is already lost. Format the column as Text and re-enter.</v>
      </c>
      <c r="X35" s="6" t="str">
        <f t="shared" ca="1" si="2"/>
        <v>OK</v>
      </c>
      <c r="Y35" s="6" t="str">
        <f t="shared" ca="1" si="3"/>
        <v>OK</v>
      </c>
      <c r="Z35" s="6" t="str">
        <f>IF($P35="","",IF(SUMPRODUCT(--EXACT($P35,Config!$G$2:$G$4))&gt;0,"OK",IF(NOT(ISNA(MATCH($P35,Config!$G$2:$G$4,0))),"WARNING: wrong capitalisation - should be """&amp;INDEX(Config!$G$2:$G$4,MATCH($P35,Config!$G$2:$G$4,0))&amp;""" exactly","Must be one of: Active, Deactivated, Suspended")))</f>
        <v>OK</v>
      </c>
      <c r="AA35" s="6" t="str">
        <f>IF($Q35="","",IF(SUMPRODUCT(--EXACT($Q35,Config!$H$2:$H$3))&gt;0,"OK",IF(NOT(ISNA(MATCH($Q35,Config!$H$2:$H$3,0))),"WARNING: wrong capitalisation - should be """&amp;INDEX(Config!$H$2:$H$3,MATCH($Q35,Config!$H$2:$H$3,0))&amp;""" exactly","Must be one of: eSIM, Physical SIM")))</f>
        <v>OK</v>
      </c>
      <c r="AB35" s="6" t="str">
        <f t="shared" ca="1" si="4"/>
        <v>ICC_ID: Stored as a NUMBER - every digit past the 15th is already lost. Format the column as Text and re-enter.</v>
      </c>
      <c r="AC35" s="6"/>
      <c r="AD35" s="7" t="s">
        <v>405</v>
      </c>
    </row>
  </sheetData>
  <conditionalFormatting sqref="C2:C2000">
    <cfRule type="expression" dxfId="38" priority="1" stopIfTrue="1">
      <formula>AND($C2&lt;&gt;"", LEFT($T2,8)="WARNING:")</formula>
    </cfRule>
    <cfRule type="expression" dxfId="37" priority="2" stopIfTrue="1">
      <formula>AND($C2&lt;&gt;"", $T2&lt;&gt;"", $T2&lt;&gt;"OK", NOT(LEFT($T2,8)="WARNING:"))</formula>
    </cfRule>
    <cfRule type="expression" dxfId="36" priority="3">
      <formula>$T2="OK"</formula>
    </cfRule>
  </conditionalFormatting>
  <conditionalFormatting sqref="E2:E2000">
    <cfRule type="expression" dxfId="35" priority="7" stopIfTrue="1">
      <formula>AND($E2&lt;&gt;"", LEFT($W2,8)="WARNING:")</formula>
    </cfRule>
    <cfRule type="expression" dxfId="34" priority="8" stopIfTrue="1">
      <formula>AND($E2&lt;&gt;"", $W2&lt;&gt;"", $W2&lt;&gt;"OK", NOT(LEFT($W2,8)="WARNING:"))</formula>
    </cfRule>
    <cfRule type="expression" dxfId="33" priority="9">
      <formula>$W2="OK"</formula>
    </cfRule>
  </conditionalFormatting>
  <conditionalFormatting sqref="G2:G2000">
    <cfRule type="expression" dxfId="32" priority="13" stopIfTrue="1">
      <formula>AND($G2&lt;&gt;"", LEFT($Y2,8)="WARNING:")</formula>
    </cfRule>
    <cfRule type="expression" dxfId="31" priority="14" stopIfTrue="1">
      <formula>AND($G2&lt;&gt;"", $Y2&lt;&gt;"", $Y2&lt;&gt;"OK", NOT(LEFT($Y2,8)="WARNING:"))</formula>
    </cfRule>
    <cfRule type="expression" dxfId="30" priority="15">
      <formula>$Y2="OK"</formula>
    </cfRule>
  </conditionalFormatting>
  <conditionalFormatting sqref="P2:P2000">
    <cfRule type="expression" dxfId="29" priority="19" stopIfTrue="1">
      <formula>AND($P2&lt;&gt;"", LEFT($Z2,8)="WARNING:")</formula>
    </cfRule>
    <cfRule type="expression" dxfId="28" priority="20" stopIfTrue="1">
      <formula>AND($P2&lt;&gt;"", $Z2&lt;&gt;"", $Z2&lt;&gt;"OK", NOT(LEFT($Z2,8)="WARNING:"))</formula>
    </cfRule>
    <cfRule type="expression" dxfId="27" priority="21">
      <formula>$Z2="OK"</formula>
    </cfRule>
  </conditionalFormatting>
  <conditionalFormatting sqref="Q2:Q2000">
    <cfRule type="expression" dxfId="26" priority="25" stopIfTrue="1">
      <formula>AND($Q2&lt;&gt;"", LEFT($AA2,8)="WARNING:")</formula>
    </cfRule>
    <cfRule type="expression" dxfId="25" priority="26" stopIfTrue="1">
      <formula>AND($Q2&lt;&gt;"", $AA2&lt;&gt;"", $AA2&lt;&gt;"OK", NOT(LEFT($AA2,8)="WARNING:"))</formula>
    </cfRule>
    <cfRule type="expression" dxfId="24" priority="27">
      <formula>$AA2="OK"</formula>
    </cfRule>
  </conditionalFormatting>
  <conditionalFormatting sqref="T2:T2000">
    <cfRule type="expression" dxfId="23" priority="4" stopIfTrue="1">
      <formula>AND($C2&lt;&gt;"", LEFT($T2,8)="WARNING:")</formula>
    </cfRule>
    <cfRule type="expression" dxfId="22" priority="5" stopIfTrue="1">
      <formula>AND($C2&lt;&gt;"", $T2&lt;&gt;"", $T2&lt;&gt;"OK", NOT(LEFT($T2,8)="WARNING:"))</formula>
    </cfRule>
    <cfRule type="expression" dxfId="21" priority="6">
      <formula>$T2="OK"</formula>
    </cfRule>
  </conditionalFormatting>
  <conditionalFormatting sqref="U2:U2000">
    <cfRule type="expression" dxfId="20" priority="31" stopIfTrue="1">
      <formula>AND($U2&lt;&gt;"", LEFT($X2,8)="WARNING:")</formula>
    </cfRule>
    <cfRule type="expression" dxfId="19" priority="32" stopIfTrue="1">
      <formula>AND($U2&lt;&gt;"", $X2&lt;&gt;"", $X2&lt;&gt;"OK", NOT(LEFT($X2,8)="WARNING:"))</formula>
    </cfRule>
    <cfRule type="expression" dxfId="18" priority="33">
      <formula>$X2="OK"</formula>
    </cfRule>
  </conditionalFormatting>
  <conditionalFormatting sqref="W2:W2000">
    <cfRule type="expression" dxfId="17" priority="10" stopIfTrue="1">
      <formula>AND($E2&lt;&gt;"", LEFT($W2,8)="WARNING:")</formula>
    </cfRule>
    <cfRule type="expression" dxfId="16" priority="11" stopIfTrue="1">
      <formula>AND($E2&lt;&gt;"", $W2&lt;&gt;"", $W2&lt;&gt;"OK", NOT(LEFT($W2,8)="WARNING:"))</formula>
    </cfRule>
    <cfRule type="expression" dxfId="15" priority="12">
      <formula>$W2="OK"</formula>
    </cfRule>
  </conditionalFormatting>
  <conditionalFormatting sqref="X2:X2000">
    <cfRule type="expression" dxfId="14" priority="34" stopIfTrue="1">
      <formula>AND($U2&lt;&gt;"", LEFT($X2,8)="WARNING:")</formula>
    </cfRule>
    <cfRule type="expression" dxfId="13" priority="35" stopIfTrue="1">
      <formula>AND($U2&lt;&gt;"", $X2&lt;&gt;"", $X2&lt;&gt;"OK", NOT(LEFT($X2,8)="WARNING:"))</formula>
    </cfRule>
    <cfRule type="expression" dxfId="12" priority="36">
      <formula>$X2="OK"</formula>
    </cfRule>
  </conditionalFormatting>
  <conditionalFormatting sqref="Y2:Y2000">
    <cfRule type="expression" dxfId="11" priority="16" stopIfTrue="1">
      <formula>AND($G2&lt;&gt;"", LEFT($Y2,8)="WARNING:")</formula>
    </cfRule>
    <cfRule type="expression" dxfId="10" priority="17" stopIfTrue="1">
      <formula>AND($G2&lt;&gt;"", $Y2&lt;&gt;"", $Y2&lt;&gt;"OK", NOT(LEFT($Y2,8)="WARNING:"))</formula>
    </cfRule>
    <cfRule type="expression" dxfId="9" priority="18">
      <formula>$Y2="OK"</formula>
    </cfRule>
  </conditionalFormatting>
  <conditionalFormatting sqref="Z2:Z2000">
    <cfRule type="expression" dxfId="8" priority="22" stopIfTrue="1">
      <formula>AND($P2&lt;&gt;"", LEFT($Z2,8)="WARNING:")</formula>
    </cfRule>
    <cfRule type="expression" dxfId="7" priority="23" stopIfTrue="1">
      <formula>AND($P2&lt;&gt;"", $Z2&lt;&gt;"", $Z2&lt;&gt;"OK", NOT(LEFT($Z2,8)="WARNING:"))</formula>
    </cfRule>
    <cfRule type="expression" dxfId="6" priority="24">
      <formula>$Z2="OK"</formula>
    </cfRule>
  </conditionalFormatting>
  <conditionalFormatting sqref="AA2:AA2000">
    <cfRule type="expression" dxfId="5" priority="28" stopIfTrue="1">
      <formula>AND($Q2&lt;&gt;"", LEFT($AA2,8)="WARNING:")</formula>
    </cfRule>
    <cfRule type="expression" dxfId="4" priority="29" stopIfTrue="1">
      <formula>AND($Q2&lt;&gt;"", $AA2&lt;&gt;"", $AA2&lt;&gt;"OK", NOT(LEFT($AA2,8)="WARNING:"))</formula>
    </cfRule>
    <cfRule type="expression" dxfId="3" priority="30">
      <formula>$AA2="OK"</formula>
    </cfRule>
  </conditionalFormatting>
  <conditionalFormatting sqref="AB2:AB2000">
    <cfRule type="expression" dxfId="2" priority="37" stopIfTrue="1">
      <formula>OR(AND($T2&lt;&gt;"",$T2&lt;&gt;"OK",LEFT($T2,8)&lt;&gt;"WARNING:"),AND($W2&lt;&gt;"",$W2&lt;&gt;"OK",LEFT($W2,8)&lt;&gt;"WARNING:"),AND($Y2&lt;&gt;"",$Y2&lt;&gt;"OK",LEFT($Y2,8)&lt;&gt;"WARNING:"),AND($Z2&lt;&gt;"",$Z2&lt;&gt;"OK",LEFT($Z2,8)&lt;&gt;"WARNING:"),AND($AA2&lt;&gt;"",$AA2&lt;&gt;"OK",LEFT($AA2,8)&lt;&gt;"WARNING:"),AND($X2&lt;&gt;"",$X2&lt;&gt;"OK",LEFT($X2,8)&lt;&gt;"WARNING:"))</formula>
    </cfRule>
    <cfRule type="expression" dxfId="1" priority="38" stopIfTrue="1">
      <formula>OR(LEFT($T2,8)="WARNING:",LEFT($W2,8)="WARNING:",LEFT($Y2,8)="WARNING:",LEFT($Z2,8)="WARNING:",LEFT($AA2,8)="WARNING:",LEFT($X2,8)="WARNING:")</formula>
    </cfRule>
    <cfRule type="expression" dxfId="0" priority="39">
      <formula>$AB2="OK"</formula>
    </cfRule>
  </conditionalFormatting>
  <dataValidations count="3">
    <dataValidation type="custom" errorStyle="warning" allowBlank="1" showInputMessage="1" showErrorMessage="1" errorTitle="ICC_ID doesn't look right" error="An ICC_ID must be 18-22 digits, digits only, starting with 89._x000a__x000a_See ICC_Check for the exact reason, including the Luhn check digit." promptTitle="ICC_ID" prompt="18-22 digits, starts with 89, no spaces or dashes. Column is formatted as Text." sqref="E2:E2000" xr:uid="{00000000-0002-0000-0200-000001000000}">
      <formula1>OR($E2="",AND(ISNUMBER(TRIM($E2&amp;"")+0),LEFT(TRIM($E2&amp;""),2)="89",LEN(TRIM($E2&amp;""))&gt;=18,LEN(TRIM($E2&amp;""))&lt;=22))</formula1>
    </dataValidation>
    <dataValidation type="custom" errorStyle="warning" allowBlank="1" showInputMessage="1" showErrorMessage="1" errorTitle="IMEI doesn't look right" error="An IMEI is exactly 15 digits, digits only._x000a__x000a_See IMEI_Check for details." promptTitle="IMEI" prompt="Exactly 15 digits, e.g. 352099001760892." sqref="U2:U2000" xr:uid="{00000000-0002-0000-0200-000002000000}">
      <formula1>OR($U2="",AND(ISNUMBER(TRIM($U2&amp;"")+0),LEN(TRIM($U2&amp;""))=15))</formula1>
    </dataValidation>
    <dataValidation type="custom" errorStyle="warning" allowBlank="1" showInputMessage="1" showErrorMessage="1" errorTitle="StartDate must be day-month-year" error="Either a real date, or text in the form dd-mm-yyyy (15-03-2026)._x000a__x000a_See Date_Check for the exact reason." promptTitle="StartDate" prompt="dd-mm-yyyy, e.g. 15-03-2026. A real date is fine too." sqref="G2:G2000" xr:uid="{00000000-0002-0000-0200-000003000000}">
      <formula1>OR($G2="",ISNUMBER($G2),AND(LEN(TRIM($G2&amp;""))=10,MID(TRIM($G2&amp;""),3,1)=MID(TRIM($G2&amp;""),6,1),NOT(ISERROR(FIND(MID(TRIM($G2&amp;""),3,1),"-/.")))))</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4">
        <x14:dataValidation type="custom" errorStyle="warning" allowBlank="1" showInputMessage="1" showErrorMessage="1" errorTitle="Phone number doesn't match the SIM country" error="Enter 8-15 digits starting with the dial code of this row's SIM_Country._x000a__x000a_See IsPhoneValid for the exact reason. Click Yes to keep it and fix it later - the cell stays red." promptTitle="PhoneNr" prompt="Country code + number, e.g. +40712345678, 40712345678 or 0040712345678." xr:uid="{00000000-0002-0000-0200-000000000000}">
          <x14:formula1>
            <xm:f>OR($C2="",AND(ISNUMBER(IF(LEFT(SUBSTITUTE(SUBSTITUTE(SUBSTITUTE(SUBSTITUTE(SUBSTITUTE(SUBSTITUTE(SUBSTITUTE(TRIM($C2&amp;""),"+","")," ",""),"-",""),"(",""),")",""),".",""),CHAR(160),""),2)="00",MID(SUBSTITUTE(SUBSTITUTE(SUBSTITUTE(SUBSTITUTE(SUBSTITUTE(SUBSTITUTE(SUBSTITUTE(TRIM($C2&amp;""),"+","")," ",""),"-",""),"(",""),")",""),".",""),CHAR(160),""),3,255),SUBSTITUTE(SUBSTITUTE(SUBSTITUTE(SUBSTITUTE(SUBSTITUTE(SUBSTITUTE(SUBSTITUTE(TRIM($C2&amp;""),"+","")," ",""),"-",""),"(",""),")",""),".",""),CHAR(160),""))+0),LEN(IF(LEFT(SUBSTITUTE(SUBSTITUTE(SUBSTITUTE(SUBSTITUTE(SUBSTITUTE(SUBSTITUTE(SUBSTITUTE(TRIM($C2&amp;""),"+","")," ",""),"-",""),"(",""),")",""),".",""),CHAR(160),""),2)="00",MID(SUBSTITUTE(SUBSTITUTE(SUBSTITUTE(SUBSTITUTE(SUBSTITUTE(SUBSTITUTE(SUBSTITUTE(TRIM($C2&amp;""),"+","")," ",""),"-",""),"(",""),")",""),".",""),CHAR(160),""),3,255),SUBSTITUTE(SUBSTITUTE(SUBSTITUTE(SUBSTITUTE(SUBSTITUTE(SUBSTITUTE(SUBSTITUTE(TRIM($C2&amp;""),"+","")," ",""),"-",""),"(",""),")",""),".",""),CHAR(160),"")))&gt;=8,LEN(IF(LEFT(SUBSTITUTE(SUBSTITUTE(SUBSTITUTE(SUBSTITUTE(SUBSTITUTE(SUBSTITUTE(SUBSTITUTE(TRIM($C2&amp;""),"+","")," ",""),"-",""),"(",""),")",""),".",""),CHAR(160),""),2)="00",MID(SUBSTITUTE(SUBSTITUTE(SUBSTITUTE(SUBSTITUTE(SUBSTITUTE(SUBSTITUTE(SUBSTITUTE(TRIM($C2&amp;""),"+","")," ",""),"-",""),"(",""),")",""),".",""),CHAR(160),""),3,255),SUBSTITUTE(SUBSTITUTE(SUBSTITUTE(SUBSTITUTE(SUBSTITUTE(SUBSTITUTE(SUBSTITUTE(TRIM($C2&amp;""),"+","")," ",""),"-",""),"(",""),")",""),".",""),CHAR(160),"")))&lt;=15,NOT(ISNA(MATCH($H2,Config!$A$2:$A$51,0))),LEFT(IF(LEFT(SUBSTITUTE(SUBSTITUTE(SUBSTITUTE(SUBSTITUTE(SUBSTITUTE(SUBSTITUTE(SUBSTITUTE(TRIM($C2&amp;""),"+","")," ",""),"-",""),"(",""),")",""),".",""),CHAR(160),""),2)="00",MID(SUBSTITUTE(SUBSTITUTE(SUBSTITUTE(SUBSTITUTE(SUBSTITUTE(SUBSTITUTE(SUBSTITUTE(TRIM($C2&amp;""),"+","")," ",""),"-",""),"(",""),")",""),".",""),CHAR(160),""),3,255),SUBSTITUTE(SUBSTITUTE(SUBSTITUTE(SUBSTITUTE(SUBSTITUTE(SUBSTITUTE(SUBSTITUTE(TRIM($C2&amp;""),"+","")," ",""),"-",""),"(",""),")",""),".",""),CHAR(160),"")),LEN(TEXT(INDEX(Config!$E$2:$E$51,MATCH($H2,Config!$A$2:$A$51,0)),"0")))=TEXT(INDEX(Config!$E$2:$E$51,MATCH($H2,Config!$A$2:$A$51,0)),"0")))</xm:f>
          </x14:formula1>
          <xm:sqref>C2:C2000</xm:sqref>
        </x14:dataValidation>
        <x14:dataValidation type="list" errorStyle="warning" allowBlank="1" showErrorMessage="1" errorTitle="Unknown country" error="Pick a country from the list, or add it to tblCountries on the Config sheet." xr:uid="{00000000-0002-0000-0200-000004000000}">
          <x14:formula1>
            <xm:f>Config!$A$2:$A$51</xm:f>
          </x14:formula1>
          <xm:sqref>H2:H2000</xm:sqref>
        </x14:dataValidation>
        <x14:dataValidation type="list" errorStyle="warning" allowBlank="1" showErrorMessage="1" errorTitle="Invalid Status" error="Status must be Active, Deactivated or Suspended." xr:uid="{00000000-0002-0000-0200-000005000000}">
          <x14:formula1>
            <xm:f>Config!$G$2:$G$4</xm:f>
          </x14:formula1>
          <xm:sqref>P2:P2000</xm:sqref>
        </x14:dataValidation>
        <x14:dataValidation type="list" errorStyle="warning" allowBlank="1" showErrorMessage="1" errorTitle="Invalid SIM Type" error="SIM Type must be eSIM or Physical SIM." xr:uid="{00000000-0002-0000-0200-000006000000}">
          <x14:formula1>
            <xm:f>Config!$H$2:$H$3</xm:f>
          </x14:formula1>
          <xm:sqref>Q2:Q2000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3</vt:i4>
      </vt:variant>
    </vt:vector>
  </HeadingPairs>
  <TitlesOfParts>
    <vt:vector size="3" baseType="lpstr">
      <vt:lpstr>Readme</vt:lpstr>
      <vt:lpstr>Config</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Ilie Danut Mihai</cp:lastModifiedBy>
  <dcterms:created xsi:type="dcterms:W3CDTF">2026-07-30T08:12:32Z</dcterms:created>
  <dcterms:modified xsi:type="dcterms:W3CDTF">2026-07-30T08:26:35Z</dcterms:modified>
</cp:coreProperties>
</file>